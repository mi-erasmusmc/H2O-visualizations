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erasmusmc-my.sharepoint.com/personal/l_verbeij_erasmusmc_nl/Documents/Erasmus/PhD/PROMOP/Mapping and ETL/"/>
    </mc:Choice>
  </mc:AlternateContent>
  <xr:revisionPtr revIDLastSave="1063" documentId="8_{21FAA0AC-0132-4591-8193-78BC268B02EC}" xr6:coauthVersionLast="47" xr6:coauthVersionMax="47" xr10:uidLastSave="{F212E31B-3F26-4831-B0AE-AFCD26B16536}"/>
  <bookViews>
    <workbookView xWindow="28680" yWindow="-120" windowWidth="29040" windowHeight="15720" activeTab="1" xr2:uid="{00000000-000D-0000-FFFF-FFFF00000000}"/>
  </bookViews>
  <sheets>
    <sheet name="VARIABLES" sheetId="1" r:id="rId1"/>
    <sheet name="ANSWE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1" l="1"/>
  <c r="P7" i="1"/>
  <c r="P6" i="1"/>
  <c r="P5" i="1"/>
  <c r="P4" i="1"/>
  <c r="P3" i="1"/>
  <c r="O8" i="1"/>
  <c r="N8" i="1"/>
  <c r="M8" i="1"/>
  <c r="Q9" i="2"/>
  <c r="Q8" i="2"/>
  <c r="Q7" i="2"/>
  <c r="Q6" i="2"/>
  <c r="Q5" i="2"/>
  <c r="Q4" i="2"/>
  <c r="Q3" i="2"/>
  <c r="P9" i="2"/>
  <c r="O9" i="2"/>
  <c r="N9" i="2"/>
  <c r="P3" i="2"/>
  <c r="O3" i="2"/>
  <c r="P4" i="2"/>
  <c r="O4" i="2"/>
  <c r="P5" i="2"/>
  <c r="O5" i="2"/>
  <c r="P6" i="2"/>
  <c r="O6" i="2"/>
  <c r="P7" i="2"/>
  <c r="O7" i="2"/>
  <c r="P8" i="2"/>
  <c r="O8" i="2"/>
  <c r="N8" i="2"/>
  <c r="N7" i="2"/>
  <c r="N6" i="2"/>
  <c r="N5" i="2"/>
  <c r="N4" i="2"/>
  <c r="N3" i="2"/>
  <c r="M7" i="1" l="1"/>
  <c r="O3" i="1"/>
  <c r="N3" i="1"/>
  <c r="O6" i="1"/>
  <c r="N6" i="1"/>
  <c r="N7" i="1"/>
  <c r="M6" i="1"/>
  <c r="M3" i="1"/>
  <c r="O7" i="1"/>
  <c r="O5" i="1"/>
  <c r="N5" i="1"/>
  <c r="M5" i="1"/>
  <c r="O4" i="1"/>
  <c r="N4" i="1"/>
  <c r="M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tc={327A5479-4289-4B34-A164-A7272819A76A}</author>
    <author>tc={A4374958-3D45-412D-8399-806017F43FF9}</author>
  </authors>
  <commentList>
    <comment ref="E127" authorId="0" shapeId="0" xr:uid="{327A5479-4289-4B34-A164-A7272819A76A}">
      <text>
        <t xml:space="preserve">[Threaded comment]
Your version of Excel allows you to read this threaded comment; however, any edits to it will get removed if the file is opened in a newer version of Excel. Learn more: https://go.microsoft.com/fwlink/?linkid=870924
Comment:
    The ostomy was mapped to device so normally in the DEVICE_EXPOSURE table. Now we maybe “abused” the concept to the observation table. Even then the dates can be represented in the observation_period_start_date and observation_period_end_date. </t>
      </text>
    </comment>
    <comment ref="F216" authorId="1" shapeId="0" xr:uid="{A4374958-3D45-412D-8399-806017F43FF9}">
      <text>
        <t>[Threaded comment]
Your version of Excel allows you to read this threaded comment; however, any edits to it will get removed if the file is opened in a newer version of Excel. Learn more: https://go.microsoft.com/fwlink/?linkid=870924
Comment:
    This changed to fit original intent, both have answer yes/no then</t>
      </text>
    </comment>
  </commentList>
</comments>
</file>

<file path=xl/sharedStrings.xml><?xml version="1.0" encoding="utf-8"?>
<sst xmlns="http://schemas.openxmlformats.org/spreadsheetml/2006/main" count="2027" uniqueCount="1372">
  <si>
    <t>H2O_UID</t>
  </si>
  <si>
    <t>concept_id</t>
  </si>
  <si>
    <t>answer_set_UID</t>
  </si>
  <si>
    <t>comments</t>
  </si>
  <si>
    <t>H2O_item_description</t>
  </si>
  <si>
    <t>concept_name</t>
  </si>
  <si>
    <t>identical</t>
  </si>
  <si>
    <t>non-identical</t>
  </si>
  <si>
    <t>non-existent</t>
  </si>
  <si>
    <t>Disease area</t>
  </si>
  <si>
    <t>GENERIC</t>
  </si>
  <si>
    <t>Category</t>
  </si>
  <si>
    <t>GEN_001</t>
  </si>
  <si>
    <t>NA</t>
  </si>
  <si>
    <t>Goes directly in PERSON table</t>
  </si>
  <si>
    <t>State your date of birth</t>
  </si>
  <si>
    <t>Total</t>
  </si>
  <si>
    <t>GEN_002</t>
  </si>
  <si>
    <t>GEN_AS_001</t>
  </si>
  <si>
    <t>Goes directly in PERSON table (with only answers from GEN_AS_001)</t>
  </si>
  <si>
    <t>Please indicate your sex at birth</t>
  </si>
  <si>
    <t>Generic</t>
  </si>
  <si>
    <t>GEN_003</t>
  </si>
  <si>
    <t>GEN_AS_002</t>
  </si>
  <si>
    <t>Please indicate your smoking status (of cigarettes, cigars or tobacco)</t>
  </si>
  <si>
    <t>Tobacco smoking status</t>
  </si>
  <si>
    <t>Diabetes</t>
  </si>
  <si>
    <t>GEN_004</t>
  </si>
  <si>
    <t>GEN_AS_003</t>
  </si>
  <si>
    <t>How often do you consume alcohol on average?</t>
  </si>
  <si>
    <t>Alcohol intake - finding</t>
  </si>
  <si>
    <t>IBD</t>
  </si>
  <si>
    <t>GEN_005</t>
  </si>
  <si>
    <t>Please indicate your current weight in kilogram</t>
  </si>
  <si>
    <t>Body weight</t>
  </si>
  <si>
    <t>MBC</t>
  </si>
  <si>
    <t>GEN_006</t>
  </si>
  <si>
    <t>Please indicate your current height in centimeter</t>
  </si>
  <si>
    <t>Body height measure</t>
  </si>
  <si>
    <t>LC</t>
  </si>
  <si>
    <t>GEN_007</t>
  </si>
  <si>
    <t>RAS_001</t>
  </si>
  <si>
    <t>If you need any support due to your disease, do you know where to turn for medical help?</t>
  </si>
  <si>
    <t>Able to access healthcare services</t>
  </si>
  <si>
    <t>GEN_008</t>
  </si>
  <si>
    <t>GEN_AS_004</t>
  </si>
  <si>
    <t>Based on condition_occurance for concepts in answer set GEN_AS_004</t>
  </si>
  <si>
    <t>Please select your type of diagnosis from the drop down menu</t>
  </si>
  <si>
    <t>GEN_009</t>
  </si>
  <si>
    <t>Becomes the condition_start_date for aboves condition_start_date for aboves condition_occurrence</t>
  </si>
  <si>
    <t>Please tell us in which year you received your diagnosis</t>
  </si>
  <si>
    <t>PROMIS-GLOBAL-10_1</t>
  </si>
  <si>
    <t>RAS_008</t>
  </si>
  <si>
    <t>In general, would you say your health is:</t>
  </si>
  <si>
    <t>In general, would you say your health is</t>
  </si>
  <si>
    <t>PROMIS-GLOBAL-10_2</t>
  </si>
  <si>
    <t>In general, would you say your quality of life is:</t>
  </si>
  <si>
    <t>In general, would you say your quality of life is [PROMIS]</t>
  </si>
  <si>
    <t>PROMIS-GLOBAL-10_3</t>
  </si>
  <si>
    <t>In general, how would you rate your physical health?</t>
  </si>
  <si>
    <t>In general, how would you rate your physical health [PROMIS]</t>
  </si>
  <si>
    <t>PROMIS-GLOBAL-10_4</t>
  </si>
  <si>
    <t>In general, how would you rate your mental health, including your mood and your ability to think?.</t>
  </si>
  <si>
    <t>In general, how would you rate your mental health, including your mood and your ability to think [PROMIS]</t>
  </si>
  <si>
    <t>PROMIS-GLOBAL-10_5</t>
  </si>
  <si>
    <t>In general, how would you rate your satisfaction with your social activities and relationships?</t>
  </si>
  <si>
    <t>In general, how would you rate your satisfaction with you social activities and relationships [PROMIS]</t>
  </si>
  <si>
    <t>PROMIS-GLOBAL-10_9R</t>
  </si>
  <si>
    <t>In general, please rate how well you carry out your usual social activities and roles. (This includes activities at home, at work and in your community, and responsibilities as a parent, child, spouse, employee, friend, etc.).</t>
  </si>
  <si>
    <t>In general, please rate how well you carry out your usual social activities and roles [PROMIS]</t>
  </si>
  <si>
    <t>PROMIS-GLOBAL-10_6</t>
  </si>
  <si>
    <t>GEN_AS_005</t>
  </si>
  <si>
    <t>To what extent are you able to carry out your everyday physical activities such as walking, climbing stairs, carrying groceries, or moving a chair?</t>
  </si>
  <si>
    <t>To what extent are you able to carry out your everyday physical activities such as walking, climbing stairs, carrying groceries, or moving a chair [PROMIS]</t>
  </si>
  <si>
    <t>PROMIS-GLOBAL-10_10R</t>
  </si>
  <si>
    <t>In the past 7 days, how often have you been bothered by emotional problems such as feeling anxious, depressed or irritable? .</t>
  </si>
  <si>
    <t>How often have you been bothered by emotional problems such as feeling anxious, depressed or irritable in past 7 days [PROMIS]</t>
  </si>
  <si>
    <t>PROMIS-GLOBAL-10_8R</t>
  </si>
  <si>
    <t>In the past 7 days, how would you rate your fatigue on average?</t>
  </si>
  <si>
    <t>How would you rate your fatigue on average in past 7 days [PROMIS]</t>
  </si>
  <si>
    <t>PROMIS-GLOBAL-10_7RC</t>
  </si>
  <si>
    <t>In the past 7 days, how would you rate your pain on average?</t>
  </si>
  <si>
    <t>How would you rate your pain on average in past 7 days [PROMIS]</t>
  </si>
  <si>
    <t>PROMIS-29_PFA11</t>
  </si>
  <si>
    <t>Are you able to do chores such as vacuuming or yard work?</t>
  </si>
  <si>
    <t>Are you able to do chores such as vacuuming carpet or mopping floors [PROMIS]</t>
  </si>
  <si>
    <t>PROMIS-29_PFA21</t>
  </si>
  <si>
    <t>Are you able to go up and down stairs at a normal pace?</t>
  </si>
  <si>
    <t>Are you able to go up and down stairs at a normal pace [PROMIS]</t>
  </si>
  <si>
    <t>PROMIS-29_PFA23</t>
  </si>
  <si>
    <t>Are you able to go for a walk of at least 15 minutes?</t>
  </si>
  <si>
    <t>Are you able to go for a walk of at least 15 minutes [PROMIS]</t>
  </si>
  <si>
    <t>PROMIS-29_PFA53</t>
  </si>
  <si>
    <t>Are you able to run errands and shop?</t>
  </si>
  <si>
    <t>Are you able to run errands and shop [PROMIS]</t>
  </si>
  <si>
    <t>PROMIS-29_EDANX40</t>
  </si>
  <si>
    <t>In the past 7 days, I found it hard to focus on anything other than my anxiety…</t>
  </si>
  <si>
    <t>I found it hard to focus on anything other than my anxiety in past 7 days</t>
  </si>
  <si>
    <t>PROMIS-29_EDANX41</t>
  </si>
  <si>
    <t>In the past 7 days, my worries overwhelmed me…</t>
  </si>
  <si>
    <t>My worries overwhelmed me in past 7 days</t>
  </si>
  <si>
    <t>PROMIS-29_EDANX01</t>
  </si>
  <si>
    <t>In the past 7 days, I felt fearful…</t>
  </si>
  <si>
    <t>I felt fearful in past 7 days [PROMIS]</t>
  </si>
  <si>
    <t>PROMIS-29_EDANX53</t>
  </si>
  <si>
    <t>In the past 7 days, I felt uneasy…</t>
  </si>
  <si>
    <t>I felt uneasy in past 7 days</t>
  </si>
  <si>
    <t>PROMIS-29_EDDEP04</t>
  </si>
  <si>
    <t>In the past 7 days, I felt worthless…</t>
  </si>
  <si>
    <t>I felt worthless in past 7 days [PROMIS]</t>
  </si>
  <si>
    <t>PROMIS-29_EDDEP06</t>
  </si>
  <si>
    <t>In the past 7 days, I felt helpless…</t>
  </si>
  <si>
    <t>I felt helpless in past 7 days [PROMIS]</t>
  </si>
  <si>
    <t>PROMIS-29_EDDEP29</t>
  </si>
  <si>
    <t>In the past 7 days, I felt depressed…</t>
  </si>
  <si>
    <t>I felt depressed in past 7 days [PROMIS]</t>
  </si>
  <si>
    <t>PROMIS-29_EDDEP41</t>
  </si>
  <si>
    <t>In the past 7 days, I felt hopeless</t>
  </si>
  <si>
    <t>I felt hopeless in past 7 days [PROMIS]</t>
  </si>
  <si>
    <t>PROMIS-29_HI7</t>
  </si>
  <si>
    <t>In the past 7 days, I felt fatigued…</t>
  </si>
  <si>
    <t>I feel fatigued during the past 7 days [PROMIS]</t>
  </si>
  <si>
    <t>PROMIS-29_AN3</t>
  </si>
  <si>
    <t>In the past 7 days, I have had trouble starting things because I was tired…</t>
  </si>
  <si>
    <t>I had trouble starting things because I was tired in past 7 days [PROMIS]</t>
  </si>
  <si>
    <t>PROMIS-29_FATEXP41</t>
  </si>
  <si>
    <t>In the past 7 days, how run-down did you feel on average?</t>
  </si>
  <si>
    <t>How run-down did you feel on average in past 7 days [PROMIS]</t>
  </si>
  <si>
    <t>PROMIS-29_FATEXP40</t>
  </si>
  <si>
    <t>In the past 7 days, how fatigued were you on average?</t>
  </si>
  <si>
    <t>How fatigued were you on average in past 7 days [PROMIS]</t>
  </si>
  <si>
    <t>PROMIS-29_SLEEP116</t>
  </si>
  <si>
    <t>In the past 7 days, my sleep was refreshing…</t>
  </si>
  <si>
    <t>My sleep was refreshing in past 7 days [PROMIS]</t>
  </si>
  <si>
    <t>PROMIS-29_SLEEP20</t>
  </si>
  <si>
    <t>In the past 7 days, I had a problem with my sleep…</t>
  </si>
  <si>
    <t>I had a problem with my sleep 7 days [PROMIS]</t>
  </si>
  <si>
    <t>PROMIS-29_SLEEP44</t>
  </si>
  <si>
    <t>In the past 7 days, I had difficulty falling asleep…</t>
  </si>
  <si>
    <t>I had difficulty falling asleep in past 7 days [PROMIS]</t>
  </si>
  <si>
    <t>PROMIS-29_SLEEP109</t>
  </si>
  <si>
    <t>In the past 7 days, my sleep quality was…</t>
  </si>
  <si>
    <t>My sleep quality was...in past 7 days [PROMIS]</t>
  </si>
  <si>
    <t>PROMIS-29_SRPPER11_CAPS</t>
  </si>
  <si>
    <t>I have trouble doing all of my regular leisure activities with others.</t>
  </si>
  <si>
    <t>I have trouble doing all of my regular leisure activities with others [PROMIS]</t>
  </si>
  <si>
    <t>PROMIS-29_SRPPER18_CAPS</t>
  </si>
  <si>
    <t>I have trouble doing all of the family activities that I want to do.</t>
  </si>
  <si>
    <t>I have trouble doing all of the family activities that I want to do [PROMIS]</t>
  </si>
  <si>
    <t>PROMIS-29_SRPPER23_CAPS</t>
  </si>
  <si>
    <t>I have trouble doing all of my usual work (include work at home).</t>
  </si>
  <si>
    <t>I have trouble doing all of my usual work (include work at home) [PROMIS]</t>
  </si>
  <si>
    <t>PROMIS-29_SRPPER46_CAPS</t>
  </si>
  <si>
    <t>I have trouble doing all of the activities with friends that I want to do.</t>
  </si>
  <si>
    <t>I have trouble doing all of the activities with friends that I want to do [PROMIS]</t>
  </si>
  <si>
    <t>PROMIS-29_PAININ9</t>
  </si>
  <si>
    <t>In the past 7 days, how much did pain interfere with your day to day activities?</t>
  </si>
  <si>
    <t>How much did pain interfere with your day to day activities in past 7 days [PROMIS]</t>
  </si>
  <si>
    <t>PROMIS-29_PAININ22</t>
  </si>
  <si>
    <t>In the past 7 days, how much did pain interfere with your work around the home?</t>
  </si>
  <si>
    <t>How much did pain interfere with work around the home in past 7 days [PROMIS]</t>
  </si>
  <si>
    <t>PROMIS-29_PAININ31</t>
  </si>
  <si>
    <t>In the past 7 days, how much did pain interfere with your ability to participate in social activities?</t>
  </si>
  <si>
    <t>How much did pain interfere with your ability to participate in social activities in past 7 days [PROMIS]</t>
  </si>
  <si>
    <t>PROMIS-29_PAININ34</t>
  </si>
  <si>
    <t>In the past 7 days, how much did pain interfere with your household chores?</t>
  </si>
  <si>
    <t>How much did pain interfere with your household chores in past 7 days [PROMIS]</t>
  </si>
  <si>
    <t>PROMIS-29_GLOBAL07</t>
  </si>
  <si>
    <t>In the past 7 days, how would you rate your pain on average</t>
  </si>
  <si>
    <t>PROMIS-COGNITIVE-FUNCTION-4A_PC2R</t>
  </si>
  <si>
    <t>In the past 7 days, my thinking has been slow</t>
  </si>
  <si>
    <t>My thinking has been slow in past 7 days [PROMIS]</t>
  </si>
  <si>
    <t>PROMIS-COGNITIVE-FUNCTION-4A_PC36R</t>
  </si>
  <si>
    <t>In the past 7 days, it has been seemed like my brain was not working as well as usual</t>
  </si>
  <si>
    <t>It has seemed like my brain was not working as well as usual in past 7 days [PROMIS]</t>
  </si>
  <si>
    <t>In the past 7 days, I have had to work harder than usual to keep track of what I was doing</t>
  </si>
  <si>
    <t>I have had to work harder than usual to keep track of what I was doing in past 7 days [PROMIS]</t>
  </si>
  <si>
    <t>PROMIS-COGNITIVE-FUNCTION-4A_PC42R</t>
  </si>
  <si>
    <t>In the past 7 days, I have had trouble shifting back and forth between different activities that require thinking</t>
  </si>
  <si>
    <t>I have had trouble shifting back and forth between different activities that require thinking in past 7 days [PROMIS]</t>
  </si>
  <si>
    <t>GEN_010</t>
  </si>
  <si>
    <t>How would you best describe your mental health (including overall mood, ability to focus, or make plans for your daily and social life) within the past 2 weeks?</t>
  </si>
  <si>
    <t>GEN_011</t>
  </si>
  <si>
    <t>Do you have difficulty moving about your daily life alone and without mobility assistance?</t>
  </si>
  <si>
    <t>GEN_012</t>
  </si>
  <si>
    <t>To what extent does your health problem affect your social activities with friends/family, as well as participation in activities during leisure time or at work?</t>
  </si>
  <si>
    <t>GEN_013</t>
  </si>
  <si>
    <t>How much do you agree with the statement, "My life is limited by fatigue."</t>
  </si>
  <si>
    <t>GEN_014</t>
  </si>
  <si>
    <t>On average, how severe was your physical pain over the past four weeks?</t>
  </si>
  <si>
    <t>GEN_015</t>
  </si>
  <si>
    <t>On average, how restful was your sleep over the past four weeks?</t>
  </si>
  <si>
    <t>GEN_016</t>
  </si>
  <si>
    <t>How have you been over the past four weeks?</t>
  </si>
  <si>
    <t>DIABETES</t>
  </si>
  <si>
    <t>DB_001</t>
  </si>
  <si>
    <t>_x000D_
'Please indicate which type of pharmacological diabetes treatment you are using (select ALL that apply)'</t>
  </si>
  <si>
    <t>Diabetic care assessment</t>
  </si>
  <si>
    <t>DB_002</t>
  </si>
  <si>
    <t>_x000D_
'Please indicate which type of technological diabetes treatment you are using (select ALL that apply)'</t>
  </si>
  <si>
    <t>Glucose monitoring equipment</t>
  </si>
  <si>
    <t>ICHOM_HBA1C</t>
  </si>
  <si>
    <t>Indicate the level of HbA1c</t>
  </si>
  <si>
    <t>Hemoglobin A1c measurement</t>
  </si>
  <si>
    <t>DB_003</t>
  </si>
  <si>
    <t>_x000D_
'Please indicate your mean glucose level over the past 2 weeks'</t>
  </si>
  <si>
    <t>Estimated average glucose level</t>
  </si>
  <si>
    <t>DB_004</t>
  </si>
  <si>
    <t>_x000D_
'Please indicate the standard deviation of your mean glucose level over the past two weeks'</t>
  </si>
  <si>
    <t>Glucose standard deviation Calculated</t>
  </si>
  <si>
    <t>DB_005</t>
  </si>
  <si>
    <t>_x000D_
'Please indicate your time in range (i.e. 3.9 to 10 mmol/L) over the past 2 weeks'</t>
  </si>
  <si>
    <t>Glucose measurements in range out of Total glucose measurements during reporting period</t>
  </si>
  <si>
    <t>DB_006</t>
  </si>
  <si>
    <t>_x000D_
'Please indicate your time in hypoglycaemia (below  range) (i.e. 3.0 to 3.9 mmol/L and &lt;3.0 mmol/L) over the past 2 weeks'</t>
  </si>
  <si>
    <t>Hypoglycemic event due to diabetes</t>
  </si>
  <si>
    <t>DB_007</t>
  </si>
  <si>
    <t>Indicate the level of cholesterol</t>
  </si>
  <si>
    <t>Total cholesterol measurement</t>
  </si>
  <si>
    <t>DB_008</t>
  </si>
  <si>
    <t>Indicate the level of LDL cholesterol</t>
  </si>
  <si>
    <t>Low density lipoprotein cholesterol measurement</t>
  </si>
  <si>
    <t>DB_009</t>
  </si>
  <si>
    <t>Indicate the level of HDL cholesterol</t>
  </si>
  <si>
    <t>High density lipoprotein cholesterol measurement</t>
  </si>
  <si>
    <t>DB_010</t>
  </si>
  <si>
    <t>Indicate the level of triglycerides</t>
  </si>
  <si>
    <t>Triglycerides measurement</t>
  </si>
  <si>
    <t>DB_011</t>
  </si>
  <si>
    <t>Indicate the level of creatine in plasma (P) or serum (S)</t>
  </si>
  <si>
    <t>Creatinine measurement</t>
  </si>
  <si>
    <t>DB_012</t>
  </si>
  <si>
    <t>Indicate the urine albumin - creatinine ratio</t>
  </si>
  <si>
    <t>Urine albumin measurement</t>
  </si>
  <si>
    <t>DB_013</t>
  </si>
  <si>
    <t>Indicate if albuminuria is present (yes/no)</t>
  </si>
  <si>
    <t>Albuminuria</t>
  </si>
  <si>
    <t>DB_014</t>
  </si>
  <si>
    <t>Indicate systolic blood pressure</t>
  </si>
  <si>
    <t>Systolic blood pressure</t>
  </si>
  <si>
    <t>DB_015</t>
  </si>
  <si>
    <t>Indicate diastolic blood pressure</t>
  </si>
  <si>
    <t>Diastolic blood pressure</t>
  </si>
  <si>
    <t>DB_016</t>
  </si>
  <si>
    <t>_x000D_
'Please indicate the date of your last foot screening'</t>
  </si>
  <si>
    <t>Diabetic foot examination</t>
  </si>
  <si>
    <t>DB_017</t>
  </si>
  <si>
    <t>_x000D_
'Please indicate the date of your last eye screening'</t>
  </si>
  <si>
    <t>Diabetic retinopathy screening</t>
  </si>
  <si>
    <t>DB_018</t>
  </si>
  <si>
    <t>Indicate the frequency of episodes of  severe hypoglycemia: Number of events during last year (defined as an episode of low blood sugars that one is unable to treat themselves, leading to confusion or an inability to think straight)</t>
  </si>
  <si>
    <t>Frequency of hypoglycemia attack</t>
  </si>
  <si>
    <t>DB_019</t>
  </si>
  <si>
    <t>Indicate the frequency of hyperglycemic emergencies during last year (incl. diabetic ketoacidosis and hyperosmolar hyperglycemic state)</t>
  </si>
  <si>
    <t>Frequency of hyperglycaemic episodes</t>
  </si>
  <si>
    <t>DB_020</t>
  </si>
  <si>
    <t>Indicate micro and macro-vascular complications (current)</t>
  </si>
  <si>
    <t>Complication due to diabetes mellitus</t>
  </si>
  <si>
    <t>PAID-5_1</t>
  </si>
  <si>
    <t>Which of the following diabetes issues are currently a problem for you: Feeling scared when you think about living with diabetes?</t>
  </si>
  <si>
    <t>I felt scared [CES-DC]</t>
  </si>
  <si>
    <t>PAID-5_2</t>
  </si>
  <si>
    <t>Which of the following diabetes issues are currently a problem for you: Feeling depressed when you think about living with diabetes?</t>
  </si>
  <si>
    <t>Feeling depressed</t>
  </si>
  <si>
    <t>PAID-5_3</t>
  </si>
  <si>
    <t>Which of the following diabetes issues are currently a problem for you: Worrying about the future and the possibility of serious complications?</t>
  </si>
  <si>
    <t>Worry about the future since illness</t>
  </si>
  <si>
    <t>PAID-5_4</t>
  </si>
  <si>
    <t>Which of the following diabetes issues are currently a problem for you: Feeling that diabetes is taking up too much of your mental and physical energy everyday?</t>
  </si>
  <si>
    <t>Unable to have functional level of stamina</t>
  </si>
  <si>
    <t>PAID-5_5</t>
  </si>
  <si>
    <t>Which of the following diabetes issues are currently a problem for you: Coping with diabetes complications?</t>
  </si>
  <si>
    <t>Difficulty coping</t>
  </si>
  <si>
    <t>DIDP_1</t>
  </si>
  <si>
    <t>All DIDP questions with qualifier value "impact assessment" - concept_id 44804048</t>
  </si>
  <si>
    <t>How does diabetes currently impact your…Physical health?</t>
  </si>
  <si>
    <t>DIDP_2</t>
  </si>
  <si>
    <t>How does diabetes currently impact your…Financial situation?</t>
  </si>
  <si>
    <t>Financial circumstances</t>
  </si>
  <si>
    <t>DIDP_3</t>
  </si>
  <si>
    <t>How does diabetes currently impact your…Relationship with family, friends, and peers?</t>
  </si>
  <si>
    <t>Interpersonal relationship finding</t>
  </si>
  <si>
    <t>DIDP_4</t>
  </si>
  <si>
    <t>How does diabetes currently impact your…Leisure activities?</t>
  </si>
  <si>
    <t>Leisure/social activities</t>
  </si>
  <si>
    <t>DIDP_5</t>
  </si>
  <si>
    <t>How does diabetes currently impact your…Work or studies?</t>
  </si>
  <si>
    <t>Ability to perform occupation and employment activities</t>
  </si>
  <si>
    <t>DIDP_6</t>
  </si>
  <si>
    <t>How does diabetes currently impact your…Emotional well-being?</t>
  </si>
  <si>
    <t>Emotional well-being - FAMS [FACIT]</t>
  </si>
  <si>
    <t>DSMQ-R_2</t>
  </si>
  <si>
    <t>Suggestion made but not mapped for concept_id -  37154861 (Total calculated DSMQ-R scores)</t>
  </si>
  <si>
    <t>(Thinking about my self-care, over the last 8 weeks….) The foods I choose to eat make it easy for me to achieve good blood sugar levels</t>
  </si>
  <si>
    <t>DSMQ-R - Diabetes Self Management Questionnaire - Revised</t>
  </si>
  <si>
    <t>DSMQ-R_5</t>
  </si>
  <si>
    <t>Suggestion made but not mapped for concept_id - 761977  (Within last three months) for temporal aspect</t>
  </si>
  <si>
    <t>(Thinking about my self-care, over the last 8 weeks….) Occasionally I eat lots of sweets or other foods rich in carbohydrates</t>
  </si>
  <si>
    <t>DSMQ-R_9</t>
  </si>
  <si>
    <t>(Thinking about my self-care, over the last 8 weeks….) I follow the relevant dietary recommendations for people with diabetes (e.g. given to me by my doctor or diabetes specialist)</t>
  </si>
  <si>
    <t>DSMQ-R_13</t>
  </si>
  <si>
    <t>(Thinking about my self-care, over the last 8 weeks….) Sometimes I have real ‘food binges’ (not triggered by hypoglycemia)</t>
  </si>
  <si>
    <t>DSMQ-R_17</t>
  </si>
  <si>
    <t>(Thinking about my self-care, over the last 8 weeks….) I estimate the carbohydrate content of my meals (for achieving better glucose control)</t>
  </si>
  <si>
    <t>DSMQ-R_18</t>
  </si>
  <si>
    <t>(Thinking about my self-care, over the last 8 weeks….) I eat without regard to my diabetes</t>
  </si>
  <si>
    <t>DSMQ-R_4</t>
  </si>
  <si>
    <t>(Thinking about my self-care, over the last 8 weeks….) I take my diabetes medication (e.g. insulin, tablets) as prescribed/agreed</t>
  </si>
  <si>
    <t>DSMQ-R_12</t>
  </si>
  <si>
    <t>(Thinking about my self-care, over the last 8 weeks….) I tend to forget or skip my diabetes medication (e.g. insulin, tablets)</t>
  </si>
  <si>
    <t>DSMQ-R_1</t>
  </si>
  <si>
    <t>(Thinking about my self-care, over the last 8 weeks….) I check my blood sugar levels (glucose levels) with care and attention</t>
  </si>
  <si>
    <t>DSMQ-R_6</t>
  </si>
  <si>
    <t>(Thinking about my self-care, over the last 8 weeks….) I keep records of my blood sugar values (or CGM data) to better manage my diabetes</t>
  </si>
  <si>
    <t>DSMQ-R_10</t>
  </si>
  <si>
    <t>(Thinking about my self-care, over the last 8 weeks….) I do not check my blood sugar levels (glucose levels) frequently enough for achieving good glucose control</t>
  </si>
  <si>
    <t>DSMQ-R_8</t>
  </si>
  <si>
    <t>(Thinking about my self-care, over the last 8 weeks….) I am regularly physically active to improve my diabetes/my health</t>
  </si>
  <si>
    <t>DSMQ-R_11</t>
  </si>
  <si>
    <t>(Over the last 8 weeks….) I avoid physical activity although it would be good for my diabetes/my health</t>
  </si>
  <si>
    <t>DSMQ-R_15</t>
  </si>
  <si>
    <t>(Thinking about my self-care, over the last 8 weeks….) I am less physically active than would be optimal for diabetes/health</t>
  </si>
  <si>
    <t>DSMQ-R_3</t>
  </si>
  <si>
    <t>(Thinking about my self-care, over the last 8 weeks….) I regularly see the doctor (diabetes specialist) regarding my diabetes</t>
  </si>
  <si>
    <t>DSMQ-R_7</t>
  </si>
  <si>
    <t>(Thinking about my self-care, over the last 8 weeks….) I tend to avoid seeing the doctor (diabetes specialist) regarding my diabetes</t>
  </si>
  <si>
    <t>DSMQ-R_14</t>
  </si>
  <si>
    <t>(Thinking about my self-care, over the last 8 weeks….) Regarding my diabetes, I should see my doctor (diabetes specialist) more often</t>
  </si>
  <si>
    <t>DSMQ-R_19</t>
  </si>
  <si>
    <t>(Thinking about my self-care, over the last 8 weeks….) I check/discuss my diabetes treatment with the doctor (diabetes specialist) regularly</t>
  </si>
  <si>
    <t>DSMQ-R_16</t>
  </si>
  <si>
    <t>(Thinking about my self-care, over the last 8 weeks….) I could improve my diabetes self-care considerably</t>
  </si>
  <si>
    <t>DSMQ-R_20</t>
  </si>
  <si>
    <t>(Thinking about my self-care, over the last 8 weeks….) My diabetes self-care is poor</t>
  </si>
  <si>
    <t>DSMQ-R_21</t>
  </si>
  <si>
    <t>(Thinking about my self-care, over the last 8 weeks….) I check my blood sugar levels (glucose levels) before each meal</t>
  </si>
  <si>
    <t>DSMQ-R_22</t>
  </si>
  <si>
    <t>(Thinking about my self-care, over the last 8 weeks….) I adapt my insulin doses to the carbohydrate content of my meals</t>
  </si>
  <si>
    <t>DSMQ-R_23</t>
  </si>
  <si>
    <t>(Thinking about my self-care, over the last 8 weeks….) I adjust the timing of my insulin injections and food intake</t>
  </si>
  <si>
    <t>DSMQ-R_24</t>
  </si>
  <si>
    <t>(Thinking about my self-care, over the last 8 weeks….) I adapt my insulin doses to the current blood sugar levels (glucose levels) as well as preceding or planned activities</t>
  </si>
  <si>
    <t>DSMQ-R_25</t>
  </si>
  <si>
    <t>Suggestion made but not mapped for concept_id - 4128817</t>
  </si>
  <si>
    <t>(Thinking about my self-care, over the last 8 weeks….) I try to ensure regular meal times over the day</t>
  </si>
  <si>
    <t>DSMQ-R_26</t>
  </si>
  <si>
    <t>Suggestion made but not mapped for concept_id -  4116110</t>
  </si>
  <si>
    <t>(Thinking about my self-care, over the last 8 weeks….) I carry fast carbohydrates to enable quick treatment of hypoglycemia (low blood sugar)</t>
  </si>
  <si>
    <t>DSMQ-R_27</t>
  </si>
  <si>
    <t>(Thinking about my self-care, over the last 8 weeks….) In case of hypoglycemia (low blood sugar), I take appropriate amounts of carbohydrates to avoid causing hyperglycemia (high blood sugar)</t>
  </si>
  <si>
    <t>ICHOM_COMORBIDITIESSACQ</t>
  </si>
  <si>
    <t>Besides inflammatory bowel disease (Crohn's disease (CD), ulcerative colitis (UC) or inflammatory bowel disease unclassified (IBDU)), have you been told by your doctor or care provider that you have any of the_x000D_
following? Tick all that apply.</t>
  </si>
  <si>
    <t>Comorbid condition</t>
  </si>
  <si>
    <t>IBD_001</t>
  </si>
  <si>
    <t>Please indicate whether there currently is an ostomy present</t>
  </si>
  <si>
    <t>Ostomy appliance</t>
  </si>
  <si>
    <t>IBD_002</t>
  </si>
  <si>
    <t>Dates can be represented in the observation_period_start_date and observation_period_end_date</t>
  </si>
  <si>
    <t>Please indicate the date the ostomy was placed</t>
  </si>
  <si>
    <t>IBD_003</t>
  </si>
  <si>
    <t>Please indicate the date the ostomy was removed</t>
  </si>
  <si>
    <t>IBD_004</t>
  </si>
  <si>
    <t>Please indicate with which of the following vaccinations you are fully compliant with. Tick all that apply</t>
  </si>
  <si>
    <t>Vaccination status</t>
  </si>
  <si>
    <t>IBD_005</t>
  </si>
  <si>
    <t>Please indicate if you have any of the following problems. Tick all that apply.</t>
  </si>
  <si>
    <t>Extraintestinal Crohn's</t>
  </si>
  <si>
    <t>IBD_006</t>
  </si>
  <si>
    <t>What type of IBD-specific medication do you currently take (regardless of_x000D_
when started)? Tick all that apply.</t>
  </si>
  <si>
    <t>History of Medication use</t>
  </si>
  <si>
    <t>IBD_007</t>
  </si>
  <si>
    <t>Please select the response that best describes your abdominal pain, taken on average during the past 7 days</t>
  </si>
  <si>
    <t>Abdominal pain characteristic</t>
  </si>
  <si>
    <t>IBD_008</t>
  </si>
  <si>
    <t>Needs an added temporal qualifier from EORTC concept_id - 1298615(past week)</t>
  </si>
  <si>
    <t>What is the average number of liquid or very soft stools you have had per day in the past 7 days?</t>
  </si>
  <si>
    <t>Loose stool</t>
  </si>
  <si>
    <t>IBD_009</t>
  </si>
  <si>
    <t>What is the average number of bowel movements you have had in the past three days, compared to the number of bowel movements when your condition is fully under control or before you got sick?</t>
  </si>
  <si>
    <t>Frequency of bowel action</t>
  </si>
  <si>
    <t>IBD_010</t>
  </si>
  <si>
    <t>Select the response that best describes the average amount of blood you have observed in your stool in the past 3 days</t>
  </si>
  <si>
    <t>History of rectal bleeding</t>
  </si>
  <si>
    <t>IBD_011</t>
  </si>
  <si>
    <t>Do you experience any of the following symptoms from your ostomy? Tick all that apply.</t>
  </si>
  <si>
    <t>Ostomy patient problem</t>
  </si>
  <si>
    <t>IBD_012</t>
  </si>
  <si>
    <t>Suggestion made but not mapped for alternative concept_id - 4043373 (Bowel control)</t>
  </si>
  <si>
    <t>How bad was your urge (sudden or immediate need) to relieve yourself within 15 minutes in the past 24 hours?</t>
  </si>
  <si>
    <t>Urgent desire for stool</t>
  </si>
  <si>
    <t>IBD_013</t>
  </si>
  <si>
    <t>In the past 2 weeks, because of my Crohn’s disease or ulcerative colitis I have had difficulty coordinating and managing defecation, including choosing and getting to an appropriate place for defecation and cleaning myself afterwards during daytime</t>
  </si>
  <si>
    <t>Daytime faecal incontinence</t>
  </si>
  <si>
    <t>IBD_014</t>
  </si>
  <si>
    <t>In the past 2 weeks, because of my Crohn’s disease or ulcerative colitis I have had difficulty coordinating and managing defecation, including choosing and getting to an appropriate place for defecation and cleaning myself afterwards during night-time</t>
  </si>
  <si>
    <t>Night time faecal incontinence</t>
  </si>
  <si>
    <t>IBD_015</t>
  </si>
  <si>
    <t>Needs an added qualifier_as_concept_id - 4074815</t>
  </si>
  <si>
    <t>Do you believe that your IBD has been well controlled in the past two weeks?</t>
  </si>
  <si>
    <t>Well controlled</t>
  </si>
  <si>
    <t>IBD_016</t>
  </si>
  <si>
    <t>Needs an added qualifier_as_concept_id - 4074815 (inflammatory bowel disease)</t>
  </si>
  <si>
    <t>How would you rate the overall control of your IBD in the past two weeks? Please draw a vertical line on the scale below.</t>
  </si>
  <si>
    <t>IBD_017</t>
  </si>
  <si>
    <t>At your next clinic visit, would you like to discuss new symptoms that have developed since your last visit</t>
  </si>
  <si>
    <t>Other health condition</t>
  </si>
  <si>
    <t>IBD_018</t>
  </si>
  <si>
    <t>Over the past 2 weeks, have your bowel symptoms been getting worse, getting better or not changed?</t>
  </si>
  <si>
    <t>Altered bowel function</t>
  </si>
  <si>
    <t>IBD_019</t>
  </si>
  <si>
    <t>In the past 2 weeks, did you wake up at night because of symptoms of IBD?</t>
  </si>
  <si>
    <t>Wakes up during night</t>
  </si>
  <si>
    <t>IBD_020</t>
  </si>
  <si>
    <t>Needs an added qualifier_as_concept_id - 1029797* (two weeks)</t>
  </si>
  <si>
    <t>In the past 2 weeks, did you suffer from significant pain or discomfort?</t>
  </si>
  <si>
    <t>Presence of pain</t>
  </si>
  <si>
    <t>IBD_021</t>
  </si>
  <si>
    <t>In the past 2 weeks, did you feel anxious or depressed because of your IBD?</t>
  </si>
  <si>
    <t>Anxiety about body function or health</t>
  </si>
  <si>
    <t>IBD_022</t>
  </si>
  <si>
    <t>In the past 2 weeks, did you miss any planned activities because of IBD?</t>
  </si>
  <si>
    <t>Difficulty participating in leisure activities</t>
  </si>
  <si>
    <t>IBD_023</t>
  </si>
  <si>
    <t>In the past 2 weeks, did you often feel lacking in energy (fatigued)?_x000D_
*by 'often' we mean more than half of the time</t>
  </si>
  <si>
    <t>Fatigue</t>
  </si>
  <si>
    <t>IBD_024</t>
  </si>
  <si>
    <t>I feel informed enough to manage my disease (e.g. via skills acquired through experience or education, received factual information, theoretical and practical understanding of disease)</t>
  </si>
  <si>
    <t>Current level of confidence I can find the information I need to manage my symptoms [PROMIS]</t>
  </si>
  <si>
    <t>IBD_025</t>
  </si>
  <si>
    <t>In the past 2 weeks, did you think you needed a change to your treatment?</t>
  </si>
  <si>
    <t>Satisfied with treatment</t>
  </si>
  <si>
    <t>IBD_026</t>
  </si>
  <si>
    <t>At your next clinic visit, would you like to discuss alternative types of drug for controlling IBD?</t>
  </si>
  <si>
    <t>Patient unhappy with medication regime</t>
  </si>
  <si>
    <t>IBD_027</t>
  </si>
  <si>
    <t>Do you believe that your current treatment is useful in controlling your IBD?</t>
  </si>
  <si>
    <t>Good response to treatment</t>
  </si>
  <si>
    <t>IBD_028</t>
  </si>
  <si>
    <t>At your next clinic visit, would you like to discuss ways to adjust your own treatment?</t>
  </si>
  <si>
    <t>Patient requests alternative treatment</t>
  </si>
  <si>
    <t>IBD_029</t>
  </si>
  <si>
    <t>At your next clinic visit, would you like to discuss side effects or difficulties with using your medicines?</t>
  </si>
  <si>
    <t>Consulting with healthcare provider about medication side effects</t>
  </si>
  <si>
    <t>Have you been told by a doctor that you have any of the following?</t>
  </si>
  <si>
    <t>ICHOM_MENOPAUSE</t>
  </si>
  <si>
    <t>What is your current menopausal status?</t>
  </si>
  <si>
    <t>Menopause finding</t>
  </si>
  <si>
    <t>ICHOM_FAMHIS_BRC</t>
  </si>
  <si>
    <t>Does patient have immediate family member who has or had breast cancer?</t>
  </si>
  <si>
    <t>Family history of breast cancer</t>
  </si>
  <si>
    <t>MBC_001</t>
  </si>
  <si>
    <t>Did you receive radiotherapy for your metastatic breast cancer?</t>
  </si>
  <si>
    <t>Radiotherapy</t>
  </si>
  <si>
    <t>MBC_002</t>
  </si>
  <si>
    <t>Did you receive chemotherapy for your metastatic breast cancer?</t>
  </si>
  <si>
    <t>Chemotherapy</t>
  </si>
  <si>
    <t>MBC_003</t>
  </si>
  <si>
    <t>Did you receive hormonal therapy for your metastatic breast cancer?</t>
  </si>
  <si>
    <t>Hormone therapy</t>
  </si>
  <si>
    <t>MBC_004</t>
  </si>
  <si>
    <t>Did you receive surgery for your metastatic breast cancer?</t>
  </si>
  <si>
    <t>Operation on breast</t>
  </si>
  <si>
    <t>EORTC-QLQ-C30_1</t>
  </si>
  <si>
    <t>Do you have any trouble doing strenuous activities, like carrying a heavy shopping bag or a suitcase?</t>
  </si>
  <si>
    <t>EORTC Quality of Life Questionnaire: Do you have any trouble doing strenuous activities, like carrying a heavy shopping bag or a suitcase?</t>
  </si>
  <si>
    <t>EORTC-QLQ-C30_2</t>
  </si>
  <si>
    <t>Do you have any trouble taking a long walk?</t>
  </si>
  <si>
    <t>EORTC Quality of Life Questionnaire: Do you have any trouble taking a long walk?</t>
  </si>
  <si>
    <t>EORTC-QLQ-C30_3</t>
  </si>
  <si>
    <t>Do you have any trouble taking a short walk outside of the house?</t>
  </si>
  <si>
    <t>EORTC Quality of Life Questionnaire: Do you have any trouble taking a short walk outside of the house?</t>
  </si>
  <si>
    <t>EORTC-QLQ-C30_4</t>
  </si>
  <si>
    <t>Do you need to stay in bed or a chair during the day?</t>
  </si>
  <si>
    <t>EORTC Quality of Life Questionnaire: Do you need to stay in bed or a chair during the day?</t>
  </si>
  <si>
    <t>EORTC-QLQ-C30_5</t>
  </si>
  <si>
    <t>Do you need help with eating, dressing, washing yourself or using the toilet?</t>
  </si>
  <si>
    <t>EORTC Quality of Life Questionnaire: Do you need help with eating, dressing, washing yourself or using the toilet?</t>
  </si>
  <si>
    <t>EORTC-QLQ-C30_6</t>
  </si>
  <si>
    <t>During the past week: were you limited in doing either your work or other daily activities?</t>
  </si>
  <si>
    <t>EORTC Quality of Life Questionnaire: Were you limited in doing either your work or other daily activities during the past week?</t>
  </si>
  <si>
    <t>EORTC-QLQ-C30_7</t>
  </si>
  <si>
    <t>During the past week: were you limited in pursuing your hobbies or other leisure time activities?</t>
  </si>
  <si>
    <t>EORTC Quality of Life Questionnaire: Were you limited in pursuing your hobbies or other leisure time activities during the past week?</t>
  </si>
  <si>
    <t>EORTC-QLQ-C30_8</t>
  </si>
  <si>
    <t>During the past week: Were you short of breath?</t>
  </si>
  <si>
    <t>EORTC Quality of Life Questionnaire: Were you short of breath during the past week?</t>
  </si>
  <si>
    <t>EORTC-QLQ-C30_9</t>
  </si>
  <si>
    <t>During the past week: Have you had pain?</t>
  </si>
  <si>
    <t>EORTC Quality of Life Questionnaire: Have you had pain during the past week?</t>
  </si>
  <si>
    <t>EORTC-QLQ-C30_10</t>
  </si>
  <si>
    <t>During the past week: Did you need to rest?</t>
  </si>
  <si>
    <t>EORTC Quality of Life Questionnaire: Did you need to rest during the past week?</t>
  </si>
  <si>
    <t>EORTC-QLQ-C30_11</t>
  </si>
  <si>
    <t>During the past week: Have you had trouble sleeping?</t>
  </si>
  <si>
    <t>EORTC Quality of Life Questionnaire: Have you had trouble sleeping during the past week?</t>
  </si>
  <si>
    <t>EORTC-QLQ-C30_12</t>
  </si>
  <si>
    <t>During the past week: Have you felt weak?</t>
  </si>
  <si>
    <t>EORTC Quality of Life Questionnaire: Have you felt weak?</t>
  </si>
  <si>
    <t>EORTC-QLQ-C30_13</t>
  </si>
  <si>
    <t>During the past week: Have you lacked appetite?</t>
  </si>
  <si>
    <t>EORTC Quality of Life Questionnaire: Have you lacked appetite during the past week?</t>
  </si>
  <si>
    <t>EORTC-QLQ-C30_14</t>
  </si>
  <si>
    <t>During the past week: Have you felt nauseated?</t>
  </si>
  <si>
    <t>EORTC Quality of Life Questionnaire: Have you felt nauseated during the past week?</t>
  </si>
  <si>
    <t>EORTC-QLQ-C30_15</t>
  </si>
  <si>
    <t>During the past week: Have you vomited?</t>
  </si>
  <si>
    <t>EORTC Quality of Life Questionnaire: Have you vomited during the past week?</t>
  </si>
  <si>
    <t>EORTC-QLQ-C30_16</t>
  </si>
  <si>
    <t>During the past week: Have you been constipated?</t>
  </si>
  <si>
    <t>EORTC Quality of Life Questionnaire: Have you been constipated during the past week?</t>
  </si>
  <si>
    <t>EORTC-QLQ-C30_17</t>
  </si>
  <si>
    <t>During the past week: Have you had diarrhea?</t>
  </si>
  <si>
    <t>EORTC Quality of Life Questionnaire: Have you had diarrhea during the past week?</t>
  </si>
  <si>
    <t>EORTC-QLQ-C30_18</t>
  </si>
  <si>
    <t>During the past week: Were you tired?</t>
  </si>
  <si>
    <t>EORTC Quality of Life Questionnaire: Were you tired during the past week?</t>
  </si>
  <si>
    <t>EORTC-QLQ-C30_19</t>
  </si>
  <si>
    <t>During the past week: did pain interfere with your daily activities?</t>
  </si>
  <si>
    <t>EORTC Quality of Life Questionnaire: Did pain interfere with your daily activities during the past week?</t>
  </si>
  <si>
    <t>EORTC-QLQ-C30_20</t>
  </si>
  <si>
    <t>During the past week: Have you had difficulty in concentrating on things, like reading a newspaper or watching television?</t>
  </si>
  <si>
    <t>EORTC Quality of Life Questionnaire: Have you had difficulty in concentrating on things, like reading a newspaper or watching television during the past week?</t>
  </si>
  <si>
    <t>EORTC-QLQ-C30_21</t>
  </si>
  <si>
    <t>During the past week: Did you feel tense?</t>
  </si>
  <si>
    <t>EORTC Quality of Life Questionnaire: Did you feel tense during the past week?</t>
  </si>
  <si>
    <t>EORTC-QLQ-C30_22</t>
  </si>
  <si>
    <t>During the past week: Did you worry?</t>
  </si>
  <si>
    <t>EORTC Quality of Life Questionnaire: Did you worry during the past week?</t>
  </si>
  <si>
    <t>EORTC-QLQ-C30_23</t>
  </si>
  <si>
    <t>During the past week: Did you feel irritable?</t>
  </si>
  <si>
    <t>EORTC Quality of Life Questionnaire: Did you feel irritable during the past week?</t>
  </si>
  <si>
    <t>EORTC-QLQ-C30_24</t>
  </si>
  <si>
    <t>During the past week: Did you feel depressed?</t>
  </si>
  <si>
    <t>EORTC Quality of Life Questionnaire: Did you feel depressed during the past week?</t>
  </si>
  <si>
    <t>EORTC-QLQ-C30_25</t>
  </si>
  <si>
    <t>During the past week: Have you had difficulty remembering things?</t>
  </si>
  <si>
    <t>EORTC Quality of Life Questionnaire: Have you had difficulty remembering things during the past week?</t>
  </si>
  <si>
    <t>EORTC-QLQ-C30_26</t>
  </si>
  <si>
    <t>During the past week: Has your physical condition or medical treatment interfered with your family life?</t>
  </si>
  <si>
    <t>EORTC Quality of Life Questionnaire: Has your physical condition or medical treatment interfered with your family life during the past week?</t>
  </si>
  <si>
    <t>EORTC-QLQ-C30_27</t>
  </si>
  <si>
    <t>During the past week: Has your physical condition or medical treatment interfered with your social activities?</t>
  </si>
  <si>
    <t>EORTC Quality of Life Questionnaire: Has your physical condition or medical treatment interfered with your social activities during the past week?</t>
  </si>
  <si>
    <t>EORTC-QLQ-C30_28</t>
  </si>
  <si>
    <t>During the past week: Has your physical condition or medical treatment caused you financial difficulties?</t>
  </si>
  <si>
    <t>EORTC Quality of Life Questionnaire: Has your physical condition or medical treatment caused you financial difficulties during the past week?</t>
  </si>
  <si>
    <t>EORTC-QLQ-C30_29</t>
  </si>
  <si>
    <t>How would you rate your overall health during the past week?</t>
  </si>
  <si>
    <t>EORTC Quality of Life Questionnaire: How would you rate your overall health during the past week?</t>
  </si>
  <si>
    <t>EORTC-QLQ-C30_30</t>
  </si>
  <si>
    <t>How would you rate your overall quality of life during the past week?</t>
  </si>
  <si>
    <t>EORTC Quality of Life Questionnaire: How would you rate your overall quality of life during the past week?</t>
  </si>
  <si>
    <t>PRO-CTCAE_53A</t>
  </si>
  <si>
    <t>In the last 7 days, what was the SEVERITY of your FATIGUE, TIREDNESS, OR LACK OF ENERGY at its WORST?</t>
  </si>
  <si>
    <t>How fatigued were you when your fatigue was at its worst in past 7 days [PROMIS]</t>
  </si>
  <si>
    <t>PRO-CTCAE_53B</t>
  </si>
  <si>
    <t>In the last 7 days, how much did FATIGUE, TIREDNESS, OR LACK OF ENERGY INTERFERE with your usual or daily activities?</t>
  </si>
  <si>
    <t>To what degree did you have to limit your social activities because of your fatigue in past 7 days [PROMIS]</t>
  </si>
  <si>
    <t>PRO-CTCAE_52A</t>
  </si>
  <si>
    <t>In the last 7 days, what was the SEVERITY of your INSOMNIA (INCLUDING DIFFICULTY FALLING ASLEEP, STAYING ASLEEP, OR WAKING UP EARLY) at its WORST?</t>
  </si>
  <si>
    <t>PRO-CTCAE_52B</t>
  </si>
  <si>
    <t>In the last 7 days, how much did INSOMNIA (INCLUDING DIFFICULTY FALLING ASLEEP, STAYING ASLEEP, OR WAK_x0002_ING UP EARLY) INTERFERE with your usual or daily activities?</t>
  </si>
  <si>
    <t>I had problems during the day because of poor sleep in past 7 days [PROMIS]</t>
  </si>
  <si>
    <t>PRO-CTCAE_19A</t>
  </si>
  <si>
    <t>In the last 7 days, what was the SEVERITY of your SHORTNESS OF BREATH at its WORST?</t>
  </si>
  <si>
    <t>Intensity of shortness of breath in past 7 days</t>
  </si>
  <si>
    <t>PRO-CTCAE_19B</t>
  </si>
  <si>
    <t>In the last 7 days, how much did your SHORTNESS OF BREATH INTERFERE with your usual or daily activities?</t>
  </si>
  <si>
    <t>Considering your shortness of breath over the past 7 days, rate the amount of difficulty you had when moderate-intensity leisure activity (bicycling on level terrain, etc.) [PROMIS]</t>
  </si>
  <si>
    <t>PRO-CTCAE_48A</t>
  </si>
  <si>
    <t>In the last 7 days, how OFTEN did you have PAIN?</t>
  </si>
  <si>
    <t>How often was pain distressing to you in past 7 days [PROMIS]</t>
  </si>
  <si>
    <t>PRO-CTCAE_48B</t>
  </si>
  <si>
    <t>In the last 7 days, what was the SEVERITY of your PAIN at its WORST?</t>
  </si>
  <si>
    <t>How intense was your pain at its worse in the past 7 days [PROMIS]</t>
  </si>
  <si>
    <t>PRO-CTCAE_48C</t>
  </si>
  <si>
    <t>In the last 7 days, how much did PAIN INTERFERE with your usual or daily activities?</t>
  </si>
  <si>
    <t>PRO-CTCAE_9A</t>
  </si>
  <si>
    <t>In the last 7 days, how OFTEN did you have NAUSEA?</t>
  </si>
  <si>
    <t>How often did you have nausea in the past 7 days [PhenX]</t>
  </si>
  <si>
    <t>PRO-CTCAE_9B</t>
  </si>
  <si>
    <t>In the last 7 days, what was the SEVERITY of your NAUSEA at its WORST?</t>
  </si>
  <si>
    <t>I have nausea in the past 7 days [FACIT]</t>
  </si>
  <si>
    <t>PRO-CTCAE_3A</t>
  </si>
  <si>
    <t>In the last 7 days, what was the SEVERITY of your MOUTH OR THROAT SORES at their WORST?</t>
  </si>
  <si>
    <t>I have mouth sores in the past 7 days [FACIT]</t>
  </si>
  <si>
    <t>PRO-CTCAE_3B</t>
  </si>
  <si>
    <t>In the last 7 days, how much did MOUTH OR THROAT SORES INTERFERE with your usual or daily activities?</t>
  </si>
  <si>
    <t>PRO-CTCAE_39A</t>
  </si>
  <si>
    <t>In the last 7 days, what was the SEVERITY of your NUMBNESS OR TINGLING IN YOUR HANDS OR FEET at its WORST?</t>
  </si>
  <si>
    <t>I have numbness or tingling in my hands in the past 7 days [FACIT]</t>
  </si>
  <si>
    <t>PRO-CTCAE_39B</t>
  </si>
  <si>
    <t>In the last 7 days, how much did NUMBNESS OR TINGLING IN YOUR HANDS OR FEET INTERFERE with your usual or daily activities?</t>
  </si>
  <si>
    <t>EORTC_Q548</t>
  </si>
  <si>
    <t>Have you had a fever?</t>
  </si>
  <si>
    <t>Fever [Minimum Data Set]</t>
  </si>
  <si>
    <t>LC_001</t>
  </si>
  <si>
    <t>LC_002</t>
  </si>
  <si>
    <t>Did you receive radiotherapy for your lung cancer?</t>
  </si>
  <si>
    <t>LC_003</t>
  </si>
  <si>
    <t>Did you receive chemotherapy for your lung cancer?</t>
  </si>
  <si>
    <t>LC_004</t>
  </si>
  <si>
    <t>Did you receive immunotherapy for your lung cancer?</t>
  </si>
  <si>
    <t>Immunological therapy</t>
  </si>
  <si>
    <t>LC_005</t>
  </si>
  <si>
    <t>Did you receive targeted therapy for your lung cancer?</t>
  </si>
  <si>
    <t>Targeted therapy</t>
  </si>
  <si>
    <t>LC_006</t>
  </si>
  <si>
    <t>Did you receive surgery for your lung cancer?</t>
  </si>
  <si>
    <t>Operation on lung</t>
  </si>
  <si>
    <t>EORTC-QLQ-LC13_31</t>
  </si>
  <si>
    <t>Needs an added qualifier_as_concept_id - 45882931 (In the last 7 days)</t>
  </si>
  <si>
    <t>Have you coughed? / How much did you cough during the past week?</t>
  </si>
  <si>
    <t>I have been coughing in the past 7 days [FACIT]</t>
  </si>
  <si>
    <t>EORTC-QLQ-LC13_32</t>
  </si>
  <si>
    <t>Did you cough up blood during the past week?</t>
  </si>
  <si>
    <t>Hemoptysis</t>
  </si>
  <si>
    <t>EORTC-QLQ-LC13_33</t>
  </si>
  <si>
    <t>Were you short of breath when you rested during the past week?</t>
  </si>
  <si>
    <t>Dyspnea at rest</t>
  </si>
  <si>
    <t>EORTC-QLQ-LC13_34</t>
  </si>
  <si>
    <t>Were you short of breath when you walked during the past week?</t>
  </si>
  <si>
    <t>Shortness of breath walking on level ground</t>
  </si>
  <si>
    <t>EORTC-QLQ-LC13_35</t>
  </si>
  <si>
    <t>42869934</t>
  </si>
  <si>
    <t>Were you short of breath when you climbed stairs during the past week?</t>
  </si>
  <si>
    <t>How short of breath did you get walking up 5 stairs without stopping in the past 7 days [FACIT]</t>
  </si>
  <si>
    <t>EORTC-QLQ-LC13_36</t>
  </si>
  <si>
    <t>During the past week, have you had a sore mouth or tongue?</t>
  </si>
  <si>
    <t>Painful mouth</t>
  </si>
  <si>
    <t>EORTC-QLQ-LC13_37</t>
  </si>
  <si>
    <t>During the past week,  have you had trouble swallowing?</t>
  </si>
  <si>
    <t>Difficulty swallowing</t>
  </si>
  <si>
    <t>EORTC-QLQ-LC13_38</t>
  </si>
  <si>
    <t>42869095</t>
  </si>
  <si>
    <t>During the past week, have you had tingling hands or feet?</t>
  </si>
  <si>
    <t>I have numbness or tingling in my feet in the past 7 days [FACIT]</t>
  </si>
  <si>
    <t>EORTC-QLQ-LC13_39</t>
  </si>
  <si>
    <t>Assess if a patient has been experiencing hair loss and how much</t>
  </si>
  <si>
    <t>Loss of hair</t>
  </si>
  <si>
    <t>EORTC-QLQ-LC13_40</t>
  </si>
  <si>
    <t>During the past week, have you had pain in your chest?</t>
  </si>
  <si>
    <t>Chest pain</t>
  </si>
  <si>
    <t>EORTC-QLQ-LC13_41</t>
  </si>
  <si>
    <t>During the past week, have you had pain in your arm and shoulder?</t>
  </si>
  <si>
    <t>Pain in upper limb</t>
  </si>
  <si>
    <t>EORTC-QLQ-LC13_42</t>
  </si>
  <si>
    <t>During the past week, have you had pain in other parts of your body?</t>
  </si>
  <si>
    <t>Pain</t>
  </si>
  <si>
    <t>EORTC-QLQ-LC13_43</t>
  </si>
  <si>
    <t>During the past week, did you take any medicine for pain?</t>
  </si>
  <si>
    <t>Administration of analgesic</t>
  </si>
  <si>
    <t>Code</t>
  </si>
  <si>
    <t>Old Code</t>
  </si>
  <si>
    <t>Summary</t>
  </si>
  <si>
    <t>Used across</t>
  </si>
  <si>
    <t>H2O item description</t>
  </si>
  <si>
    <t>AS_002/003/LC01</t>
  </si>
  <si>
    <t>Yes/No (value direction varies per instrument — see reference list above)</t>
  </si>
  <si>
    <t>Generic, DB, MBC, LC</t>
  </si>
  <si>
    <t>Yes</t>
  </si>
  <si>
    <t>No</t>
  </si>
  <si>
    <t>RAS_002</t>
  </si>
  <si>
    <t>AS_004</t>
  </si>
  <si>
    <t>0-10 numeric grade (generic scale)</t>
  </si>
  <si>
    <t>IBD urgency, IBD bowel incontinence</t>
  </si>
  <si>
    <t>No urge / Absolutely disagree</t>
  </si>
  <si>
    <t>Worst possible urge / Absolutely disagree</t>
  </si>
  <si>
    <t>RAS_003</t>
  </si>
  <si>
    <t>AS_005</t>
  </si>
  <si>
    <t>0-10 pain specific scale</t>
  </si>
  <si>
    <t>PROMIS-G10 pain, PROMIS-29 pain</t>
  </si>
  <si>
    <t>0 - No pain</t>
  </si>
  <si>
    <t>10 - worst imaginable pain</t>
  </si>
  <si>
    <t>RAS_004</t>
  </si>
  <si>
    <t>AS_006</t>
  </si>
  <si>
    <t>1=Not at all → 4=Very much</t>
  </si>
  <si>
    <t>EORTC QLQ-C30, LC13, EORTC Q548</t>
  </si>
  <si>
    <t>1 = Not at all</t>
  </si>
  <si>
    <t>2 = A little</t>
  </si>
  <si>
    <t>3 = Quite a bit</t>
  </si>
  <si>
    <t>4 = Very much</t>
  </si>
  <si>
    <t>RAS_005</t>
  </si>
  <si>
    <t>AS_007</t>
  </si>
  <si>
    <t>1=Not at all → 5=Very much</t>
  </si>
  <si>
    <t>PROMIS-29 fatigue + pain interference, PRO-CTCAE interference</t>
  </si>
  <si>
    <t>2 = A little bit</t>
  </si>
  <si>
    <t>3 = Somewhat</t>
  </si>
  <si>
    <t>4 = Quite a bit</t>
  </si>
  <si>
    <t>5 = Very much</t>
  </si>
  <si>
    <t>RAS_006</t>
  </si>
  <si>
    <t>AS_008</t>
  </si>
  <si>
    <t>5=Completely → 1=Not at all</t>
  </si>
  <si>
    <t>PROMIS-G10_6</t>
  </si>
  <si>
    <t>5 = Completely</t>
  </si>
  <si>
    <t>4 = Mostly</t>
  </si>
  <si>
    <t>3 = Moderately</t>
  </si>
  <si>
    <t>RAS_007</t>
  </si>
  <si>
    <t>AS_009</t>
  </si>
  <si>
    <t>1=Very poor → 7=Excellent</t>
  </si>
  <si>
    <t>EORTC QLQ-C30 global health</t>
  </si>
  <si>
    <t>AS_010</t>
  </si>
  <si>
    <t>5=Excellent → 1=Poor</t>
  </si>
  <si>
    <t>PROMIS-G10 items 1-5, 9R</t>
  </si>
  <si>
    <t>RAS_009</t>
  </si>
  <si>
    <t>AS_011</t>
  </si>
  <si>
    <t>PRO-CTCAE severity items</t>
  </si>
  <si>
    <t>RAS_010</t>
  </si>
  <si>
    <t>AS_052</t>
  </si>
  <si>
    <t>0=None → 3=Severe</t>
  </si>
  <si>
    <t>IBD abdominal pain, MUW pain</t>
  </si>
  <si>
    <t>RAS_011</t>
  </si>
  <si>
    <t>AS_012</t>
  </si>
  <si>
    <t>1=Never → 5=Almost constantly</t>
  </si>
  <si>
    <t>PRO-CTCAE frequency items</t>
  </si>
  <si>
    <t>RAS_012</t>
  </si>
  <si>
    <t>AS_013</t>
  </si>
  <si>
    <t>PROMIS-G10_10R, PROMIS-29 social participation</t>
  </si>
  <si>
    <t>RAS_013</t>
  </si>
  <si>
    <t>AS_014</t>
  </si>
  <si>
    <t>5=Never → 1=Very often (with frequency descriptors)</t>
  </si>
  <si>
    <t>PROMIS-33 cognitive function</t>
  </si>
  <si>
    <t>RAS_014</t>
  </si>
  <si>
    <t>AS_020</t>
  </si>
  <si>
    <t>IBD/MBC comorbidities (14 SNOMED concepts)</t>
  </si>
  <si>
    <t>IBD and MBC</t>
  </si>
  <si>
    <t>RAS_015</t>
  </si>
  <si>
    <t>AS_048 (DSMQ part)</t>
  </si>
  <si>
    <t>3=Applies very much → 0=Does not apply + N/A=4294169</t>
  </si>
  <si>
    <t>All 27 DSMQ-R items</t>
  </si>
  <si>
    <t>GENERIC UNIQUE (GEN_AS):</t>
  </si>
  <si>
    <t>AS_015</t>
  </si>
  <si>
    <t>Sex at birth</t>
  </si>
  <si>
    <t>Sex at birth item</t>
  </si>
  <si>
    <t>AS_016</t>
  </si>
  <si>
    <t>Smoking status</t>
  </si>
  <si>
    <t>Smoking status item</t>
  </si>
  <si>
    <t>AS_017</t>
  </si>
  <si>
    <t>Alcohol use frequency</t>
  </si>
  <si>
    <t>Alcohol use item</t>
  </si>
  <si>
    <t>AS_018</t>
  </si>
  <si>
    <t>Disease diagnosis</t>
  </si>
  <si>
    <t>Disease diagnosis item</t>
  </si>
  <si>
    <t>GEN_AS_006</t>
  </si>
  <si>
    <t>AS_033</t>
  </si>
  <si>
    <t>Without any difficulty → Unable to do</t>
  </si>
  <si>
    <t>PROMIS-29 PFA items</t>
  </si>
  <si>
    <t>GEN_AS_007</t>
  </si>
  <si>
    <t>AS_034</t>
  </si>
  <si>
    <t>Very poor → Very good (sleep)</t>
  </si>
  <si>
    <t>PROMIS-29 SLEEP109</t>
  </si>
  <si>
    <t>GEN_AS_008</t>
  </si>
  <si>
    <t>AS_039</t>
  </si>
  <si>
    <t>5=Not at all → 1=Very much reversed</t>
  </si>
  <si>
    <t>PROMIS-29 social participation</t>
  </si>
  <si>
    <t>GEN_AS_009</t>
  </si>
  <si>
    <t>AS_035</t>
  </si>
  <si>
    <t>None → Strong (mobility/social)</t>
  </si>
  <si>
    <t>MUW items 2, 3</t>
  </si>
  <si>
    <t>GEN_AS_010</t>
  </si>
  <si>
    <t>AS_036</t>
  </si>
  <si>
    <t>Not at all → Strong (social impact)</t>
  </si>
  <si>
    <t>MUW item 3</t>
  </si>
  <si>
    <t>GEN_AS_011</t>
  </si>
  <si>
    <t>AS_037</t>
  </si>
  <si>
    <t>No pain → Severe pain</t>
  </si>
  <si>
    <t>MUW item 5</t>
  </si>
  <si>
    <t>GEN_AS_012</t>
  </si>
  <si>
    <t>AS_038</t>
  </si>
  <si>
    <t>Excellent → Poor (0=Excellent)</t>
  </si>
  <si>
    <t>MUW items 1, 7</t>
  </si>
  <si>
    <t>DIABETES UNIQUE (DB_AS):</t>
  </si>
  <si>
    <t>DB_AS_001</t>
  </si>
  <si>
    <t>AS_040</t>
  </si>
  <si>
    <t>Pharmacological treatment</t>
  </si>
  <si>
    <t>DB_AS_002</t>
  </si>
  <si>
    <t>AS_041</t>
  </si>
  <si>
    <t>Technological treatment</t>
  </si>
  <si>
    <t>DB_AS_003</t>
  </si>
  <si>
    <t>AS_044</t>
  </si>
  <si>
    <t>Episode frequency None/1-2/3-5/&gt;5</t>
  </si>
  <si>
    <t>DB_018, DB_019</t>
  </si>
  <si>
    <t>DB_AS_004</t>
  </si>
  <si>
    <t>AS_045</t>
  </si>
  <si>
    <t>Diabetes complications (7 SNOMED)</t>
  </si>
  <si>
    <t>DB_AS_005</t>
  </si>
  <si>
    <t>AS_047</t>
  </si>
  <si>
    <t>DIDP impact scale 7=Very negative → 1=Very positive</t>
  </si>
  <si>
    <t>DIDP items 1-6</t>
  </si>
  <si>
    <t>DB_AS_006</t>
  </si>
  <si>
    <t>AS_019</t>
  </si>
  <si>
    <t>Not a problem → Serious problem</t>
  </si>
  <si>
    <t>PAID-5 items 1-5</t>
  </si>
  <si>
    <t>DB_AS_007</t>
  </si>
  <si>
    <t>AS_048 (N/A part)</t>
  </si>
  <si>
    <t>N/A concept for DSMQ-R and DIDP</t>
  </si>
  <si>
    <t>DSMQ-R items 1,4,6,10,12,21-27; DIDP items 1-6</t>
  </si>
  <si>
    <t>IBD UNIQUE (IBD_AS):</t>
  </si>
  <si>
    <t>IBD_AS_001</t>
  </si>
  <si>
    <t>AS_001</t>
  </si>
  <si>
    <t>0=Yes, 2=No, 1=Not sure</t>
  </si>
  <si>
    <t>IBD-Control 11 items</t>
  </si>
  <si>
    <t>IBD_AS_002</t>
  </si>
  <si>
    <t>AS_048</t>
  </si>
  <si>
    <t>Ostomy status</t>
  </si>
  <si>
    <t>IBD_AS_003</t>
  </si>
  <si>
    <t>AS_049</t>
  </si>
  <si>
    <t>Vaccination status (12 CVX concepts)</t>
  </si>
  <si>
    <t>IBD_AS_004</t>
  </si>
  <si>
    <t>AS_050</t>
  </si>
  <si>
    <t>Extra-intestinal manifestations</t>
  </si>
  <si>
    <t>IBD_AS_005</t>
  </si>
  <si>
    <t>AS_051</t>
  </si>
  <si>
    <t>IBD medication (ATC concepts)</t>
  </si>
  <si>
    <t>IBD_AS_006</t>
  </si>
  <si>
    <t>AS_053</t>
  </si>
  <si>
    <t>Stool frequency relative to normal</t>
  </si>
  <si>
    <t>IBD_AS_007</t>
  </si>
  <si>
    <t>AS_054</t>
  </si>
  <si>
    <t>Rectal bleeding severity</t>
  </si>
  <si>
    <t>IBD_AS_008</t>
  </si>
  <si>
    <t>AS_055</t>
  </si>
  <si>
    <t>Ostomy symptoms checklist</t>
  </si>
  <si>
    <t>IBD_AS_009</t>
  </si>
  <si>
    <t>AS_056</t>
  </si>
  <si>
    <t>Bowel symptoms Better/No change/Worse</t>
  </si>
  <si>
    <t>IBD_AS_010</t>
  </si>
  <si>
    <t>AS_057</t>
  </si>
  <si>
    <t>Feeling informed</t>
  </si>
  <si>
    <t>MBC UNIQUE (MBC_AS):</t>
  </si>
  <si>
    <t>MBC_AS_001</t>
  </si>
  <si>
    <t>AS_021</t>
  </si>
  <si>
    <t>Menopausal status</t>
  </si>
  <si>
    <t>MBC_AS_002</t>
  </si>
  <si>
    <t>AS_022</t>
  </si>
  <si>
    <t>Family history breast cancer</t>
  </si>
  <si>
    <t>MBC_AS_003</t>
  </si>
  <si>
    <t>AS_023</t>
  </si>
  <si>
    <t>MBC radiotherapy</t>
  </si>
  <si>
    <t>MBC_AS_004</t>
  </si>
  <si>
    <t>AS_024</t>
  </si>
  <si>
    <t>MBC chemotherapy</t>
  </si>
  <si>
    <t>MBC_AS_005</t>
  </si>
  <si>
    <t>AS_025</t>
  </si>
  <si>
    <t>MBC hormonal therapy</t>
  </si>
  <si>
    <t>MBC_AS_006</t>
  </si>
  <si>
    <t>AS_026</t>
  </si>
  <si>
    <t>MBC surgery</t>
  </si>
  <si>
    <t>LC UNIQUE (LC_AS):</t>
  </si>
  <si>
    <t>LC_AS_001</t>
  </si>
  <si>
    <t>AS_027</t>
  </si>
  <si>
    <t>LC comorbidities — extension of RAS_014</t>
  </si>
  <si>
    <t>LC_AS_002</t>
  </si>
  <si>
    <t>AS_028</t>
  </si>
  <si>
    <t>LC radiotherapy</t>
  </si>
  <si>
    <t>LC_AS_003</t>
  </si>
  <si>
    <t>AS_029</t>
  </si>
  <si>
    <t>LC chemotherapy</t>
  </si>
  <si>
    <t>LC_AS_004</t>
  </si>
  <si>
    <t>AS_030</t>
  </si>
  <si>
    <t>LC immunotherapy</t>
  </si>
  <si>
    <t>LC_AS_005</t>
  </si>
  <si>
    <t>AS_031</t>
  </si>
  <si>
    <t>LC targeted therapy</t>
  </si>
  <si>
    <t>LC_AS_006</t>
  </si>
  <si>
    <t>AS_032</t>
  </si>
  <si>
    <t>LC surgery</t>
  </si>
  <si>
    <t>1= Very poor</t>
  </si>
  <si>
    <t>2= Poor</t>
  </si>
  <si>
    <t>3= Rather poor</t>
  </si>
  <si>
    <t>4= Moderate / Neither poor no good</t>
  </si>
  <si>
    <t>5= Rather good</t>
  </si>
  <si>
    <t>6= Good</t>
  </si>
  <si>
    <t>7= Excellent</t>
  </si>
  <si>
    <t>5 = Excellent</t>
  </si>
  <si>
    <t>4 = Very good</t>
  </si>
  <si>
    <t>3 = Good</t>
  </si>
  <si>
    <t>2 = Fair</t>
  </si>
  <si>
    <t>1 = Poor</t>
  </si>
  <si>
    <t>5 = Very severe</t>
  </si>
  <si>
    <t>4 = Severe</t>
  </si>
  <si>
    <t>3 = Moderate</t>
  </si>
  <si>
    <t>2 = Mild</t>
  </si>
  <si>
    <t>1 = None</t>
  </si>
  <si>
    <t>5=Very severe → 1=None</t>
  </si>
  <si>
    <t>0 = None</t>
  </si>
  <si>
    <t>1 = Mild</t>
  </si>
  <si>
    <t>2 = Moderate</t>
  </si>
  <si>
    <t>3 = Severe</t>
  </si>
  <si>
    <t>1 = Never</t>
  </si>
  <si>
    <t>2 = Rarely</t>
  </si>
  <si>
    <t>3 = Occasionally</t>
  </si>
  <si>
    <t>4 = Frequently</t>
  </si>
  <si>
    <t>5 = Almost constantly</t>
  </si>
  <si>
    <t>5 = Never</t>
  </si>
  <si>
    <t>4 = Rarely</t>
  </si>
  <si>
    <t>3 = Sometimes</t>
  </si>
  <si>
    <t>2 = Often</t>
  </si>
  <si>
    <t>1 = Always</t>
  </si>
  <si>
    <t>5=Never → 1=Always (reversed scoring)</t>
  </si>
  <si>
    <t>4 = Rarely (once)</t>
  </si>
  <si>
    <t>3 =   Sometimes (two or three times)</t>
  </si>
  <si>
    <t>2 = Often (about once a day)</t>
  </si>
  <si>
    <t>1 = Very often (several times a day)</t>
  </si>
  <si>
    <t xml:space="preserve">0 =I have no other diseases </t>
  </si>
  <si>
    <t>1 = Heart disease (For example, angina, heart attack, or heart failure)</t>
  </si>
  <si>
    <t>2 = High blood pressure</t>
  </si>
  <si>
    <t>3 = Lung disease (For example asthma, chronic bronchitis, or emphysema)</t>
  </si>
  <si>
    <t xml:space="preserve">4 = Diabetes </t>
  </si>
  <si>
    <t xml:space="preserve">5 = Ulcer or stomach disease </t>
  </si>
  <si>
    <t>6 = Kidney disease</t>
  </si>
  <si>
    <t xml:space="preserve">7 = Liver disease </t>
  </si>
  <si>
    <t xml:space="preserve">8 = Anemia or other blood disease  </t>
  </si>
  <si>
    <t>9 = Cancer/other cancer (within the last 5 years)</t>
  </si>
  <si>
    <t xml:space="preserve">10 = Depression </t>
  </si>
  <si>
    <t xml:space="preserve">11 = Osteoarthritis, degenerative arthritis </t>
  </si>
  <si>
    <t xml:space="preserve">12 = Back pain </t>
  </si>
  <si>
    <t xml:space="preserve">13 = Rheumatoid arthritis </t>
  </si>
  <si>
    <t xml:space="preserve">14 = Other medical problems </t>
  </si>
  <si>
    <t>35941351</t>
  </si>
  <si>
    <t>45883362</t>
  </si>
  <si>
    <t>45876622</t>
  </si>
  <si>
    <t>45884896</t>
  </si>
  <si>
    <t>45879799</t>
  </si>
  <si>
    <t>45879891</t>
  </si>
  <si>
    <t>45877276</t>
  </si>
  <si>
    <t>21499348</t>
  </si>
  <si>
    <t>45878117</t>
  </si>
  <si>
    <t>45877275</t>
  </si>
  <si>
    <t>45878997</t>
  </si>
  <si>
    <t>45884766</t>
  </si>
  <si>
    <t>1620789</t>
  </si>
  <si>
    <t>45884620</t>
  </si>
  <si>
    <t>45878545</t>
  </si>
  <si>
    <t>3 = Applies to me very much</t>
  </si>
  <si>
    <t>2 = Applies to me to a considerable degree</t>
  </si>
  <si>
    <t>1 = Applies to me to some degree</t>
  </si>
  <si>
    <t>0 = Does not apply to me</t>
  </si>
  <si>
    <t>Not Applicable</t>
  </si>
  <si>
    <t>0 = Male</t>
  </si>
  <si>
    <t>1 = Female</t>
  </si>
  <si>
    <t>2 = Divers</t>
  </si>
  <si>
    <t>3 = Prefer not to say</t>
  </si>
  <si>
    <t>8507</t>
  </si>
  <si>
    <t>8532</t>
  </si>
  <si>
    <t>8551</t>
  </si>
  <si>
    <t>36311156</t>
  </si>
  <si>
    <t>0 = Never smoked (those who have smoked less than 100 tobacco products in their lifetime)</t>
  </si>
  <si>
    <t>1 = Ex‐smoker (someone who has previously smoked daily or occasionally, but has not smoked for over 6 months)</t>
  </si>
  <si>
    <t>2 = Current smoker (someone who smokes any tobacco product either daily or occasionally)</t>
  </si>
  <si>
    <t>3 = Prefer to not say</t>
  </si>
  <si>
    <t>4144272</t>
  </si>
  <si>
    <t>4310250</t>
  </si>
  <si>
    <t>4298794</t>
  </si>
  <si>
    <t>4= 4 times a week or more</t>
  </si>
  <si>
    <t>45876662</t>
  </si>
  <si>
    <t>45883171</t>
  </si>
  <si>
    <t>45885058</t>
  </si>
  <si>
    <t>42531019</t>
  </si>
  <si>
    <t>45885059</t>
  </si>
  <si>
    <t>0= never</t>
  </si>
  <si>
    <t>1=1 time a month or less</t>
  </si>
  <si>
    <t>2= 2 to 4 times a month</t>
  </si>
  <si>
    <t>3= 2 to 3 times a week</t>
  </si>
  <si>
    <t>0 = Diabetes type 1</t>
  </si>
  <si>
    <t>1 = Diabetes type 2</t>
  </si>
  <si>
    <t>2 = Crohn's disease (CD)</t>
  </si>
  <si>
    <t>3 = ulcerative colitis (UC)</t>
  </si>
  <si>
    <t>4 = inflammatory bowel disease unclassified (IBDU)</t>
  </si>
  <si>
    <t>5 = Lung Cancer</t>
  </si>
  <si>
    <t>6 = Metastatic Breast Cancer</t>
  </si>
  <si>
    <t>201254</t>
  </si>
  <si>
    <t>201826</t>
  </si>
  <si>
    <t>201606</t>
  </si>
  <si>
    <t>81893</t>
  </si>
  <si>
    <t>4074815</t>
  </si>
  <si>
    <t>443388</t>
  </si>
  <si>
    <t>5 = Without any difficulty</t>
  </si>
  <si>
    <t>4 = With little difficulty</t>
  </si>
  <si>
    <t>3 = With some difficulty</t>
  </si>
  <si>
    <t>2 = With much difficulty</t>
  </si>
  <si>
    <t>1 = Unable to do</t>
  </si>
  <si>
    <t>45880588</t>
  </si>
  <si>
    <t>45881487</t>
  </si>
  <si>
    <t>45881488</t>
  </si>
  <si>
    <t>45879120</t>
  </si>
  <si>
    <t>45882739</t>
  </si>
  <si>
    <t>5 = Very poor</t>
  </si>
  <si>
    <t>4 = Poor</t>
  </si>
  <si>
    <t>3 = Fair</t>
  </si>
  <si>
    <t>2 = Good</t>
  </si>
  <si>
    <t>1 = Very good</t>
  </si>
  <si>
    <t>45878558</t>
  </si>
  <si>
    <t>45876751</t>
  </si>
  <si>
    <t>45876387</t>
  </si>
  <si>
    <t>45876386</t>
  </si>
  <si>
    <t>45884457</t>
  </si>
  <si>
    <t>5 = Not at all</t>
  </si>
  <si>
    <t>4 = A little bit</t>
  </si>
  <si>
    <t>2 = Quite a bit</t>
  </si>
  <si>
    <t>1 = Very much</t>
  </si>
  <si>
    <t>45883172</t>
  </si>
  <si>
    <t>45881667</t>
  </si>
  <si>
    <t>45876385</t>
  </si>
  <si>
    <t>45884456</t>
  </si>
  <si>
    <t>45885256</t>
  </si>
  <si>
    <t>1 = Light</t>
  </si>
  <si>
    <t>2 = Medium Strong</t>
  </si>
  <si>
    <t>3 = Strong</t>
  </si>
  <si>
    <t>45878582</t>
  </si>
  <si>
    <t>45877157</t>
  </si>
  <si>
    <t>45880637</t>
  </si>
  <si>
    <t>45883203</t>
  </si>
  <si>
    <t>0 = Not at all</t>
  </si>
  <si>
    <t>0 = No pain</t>
  </si>
  <si>
    <t>1 = Mild pain</t>
  </si>
  <si>
    <t>2 = Moderate pain</t>
  </si>
  <si>
    <t>3 = Severe Pain</t>
  </si>
  <si>
    <t>45879046</t>
  </si>
  <si>
    <t>45876724</t>
  </si>
  <si>
    <t>45879047</t>
  </si>
  <si>
    <t>45882291</t>
  </si>
  <si>
    <t>0 = Excellent</t>
  </si>
  <si>
    <t>45881924</t>
  </si>
  <si>
    <t>45877983</t>
  </si>
  <si>
    <t>1 = Diet and exercise</t>
  </si>
  <si>
    <t>2 = Oral agents</t>
  </si>
  <si>
    <t>3 = Insulin</t>
  </si>
  <si>
    <t>4 = Other injectables</t>
  </si>
  <si>
    <t>21600744</t>
  </si>
  <si>
    <t>21600713</t>
  </si>
  <si>
    <t>955112</t>
  </si>
  <si>
    <t>1 = Insulin Pump</t>
  </si>
  <si>
    <t>2 = Sensor-based continuous glucose monitoring</t>
  </si>
  <si>
    <t>3 = Hybrid closed loop</t>
  </si>
  <si>
    <t>4 = None</t>
  </si>
  <si>
    <t>4321388</t>
  </si>
  <si>
    <t>45764947</t>
  </si>
  <si>
    <t>37169409</t>
  </si>
  <si>
    <t>0 = “None”</t>
  </si>
  <si>
    <t>1 = “1 - 2”</t>
  </si>
  <si>
    <t>2 = “3 - 5”</t>
  </si>
  <si>
    <t>3 = “&gt; 5”</t>
  </si>
  <si>
    <t>46237352</t>
  </si>
  <si>
    <t>46236537</t>
  </si>
  <si>
    <t>21499051</t>
  </si>
  <si>
    <t>1 = Cardiovascular (including myocardial infarction (ever), stroke (ever), heart failure, peripheral artery disease)</t>
  </si>
  <si>
    <t>2 = Peripheral neuropathy</t>
  </si>
  <si>
    <t>3 = Lower limb ulcers</t>
  </si>
  <si>
    <t>4 = Lower limb amputation</t>
  </si>
  <si>
    <t>5 = Chronic kidney disease</t>
  </si>
  <si>
    <t>6 = Retinopathy</t>
  </si>
  <si>
    <t>7 = Visual impairment</t>
  </si>
  <si>
    <t>4266812</t>
  </si>
  <si>
    <t>4243451</t>
  </si>
  <si>
    <t>46272749</t>
  </si>
  <si>
    <t>4219032</t>
  </si>
  <si>
    <t>46271022</t>
  </si>
  <si>
    <t>4174977</t>
  </si>
  <si>
    <t>4265433</t>
  </si>
  <si>
    <t>0 = Not a problem</t>
  </si>
  <si>
    <t>1 = Minor problem</t>
  </si>
  <si>
    <t>2 = Moderate problem</t>
  </si>
  <si>
    <t xml:space="preserve">3 = Somewhat serious problem </t>
  </si>
  <si>
    <t>4 = Serious problem</t>
  </si>
  <si>
    <t>21499256</t>
  </si>
  <si>
    <t>1177370</t>
  </si>
  <si>
    <t>1177250</t>
  </si>
  <si>
    <t>45883536</t>
  </si>
  <si>
    <t>0 = Yes</t>
  </si>
  <si>
    <t>2 = No</t>
  </si>
  <si>
    <t>PROM code value</t>
  </si>
  <si>
    <t xml:space="preserve">1 = Not sure </t>
  </si>
  <si>
    <t>1 = Never had an ostomy</t>
  </si>
  <si>
    <t>2 = Used to have an ostomy but currently not anymore</t>
  </si>
  <si>
    <t>3 = Currently have an ostomy</t>
  </si>
  <si>
    <t>4148230 end+start date</t>
  </si>
  <si>
    <t>4148230 start date only</t>
  </si>
  <si>
    <t>No entry</t>
  </si>
  <si>
    <t>1 = vaccination for influenza in the last year according to national guidelines</t>
  </si>
  <si>
    <t>2 = vaccination for herpes zoster</t>
  </si>
  <si>
    <t>3 = full vaccination for pneumococci in the last 5 years (2 doses with an 8 week interval + 5 yearly booster according to national guidelines)</t>
  </si>
  <si>
    <t>4 = vaccination for hepatitis A according to national guidelines</t>
  </si>
  <si>
    <t>5 = full vaccination for hepatitis B (3 doses + additional booster might be necessary according to level of seroprotection)</t>
  </si>
  <si>
    <t>6 = full vaccination for tetanus, diphtheria and pertussis in the last 10 years (1 dose + 10 yearly booster according to national guidelines</t>
  </si>
  <si>
    <t>7 = full vaccination for human papillomavirus (2 or 3 doses depending on age)</t>
  </si>
  <si>
    <t>8 = vaccination for meningococcal vaccines according to national guidelines</t>
  </si>
  <si>
    <t>9 = full vaccination for measles, mumps and rubella (2 doses with at least a 28 day interval)</t>
  </si>
  <si>
    <t>10 = full vaccination for varicella (2 doses with a 4–8 weeks interval)</t>
  </si>
  <si>
    <t>11 = vaccination for poliomyelitis according to national guidelines</t>
  </si>
  <si>
    <t>12 = vaccination for COVID-19 according to national guidelines</t>
  </si>
  <si>
    <t>40213158</t>
  </si>
  <si>
    <t>706104</t>
  </si>
  <si>
    <t>40213202</t>
  </si>
  <si>
    <t>40213302</t>
  </si>
  <si>
    <t>40213306</t>
  </si>
  <si>
    <t>40213291</t>
  </si>
  <si>
    <t>40213319</t>
  </si>
  <si>
    <t>40213182</t>
  </si>
  <si>
    <t>40213168</t>
  </si>
  <si>
    <t>40213251</t>
  </si>
  <si>
    <t>724894</t>
  </si>
  <si>
    <t>724904</t>
  </si>
  <si>
    <t>0 = I have no joint, eye or skin problems</t>
  </si>
  <si>
    <t>1 = Joint</t>
  </si>
  <si>
    <t>2 = Skin</t>
  </si>
  <si>
    <t>3 = Eye</t>
  </si>
  <si>
    <t>4216200</t>
  </si>
  <si>
    <t>4183958</t>
  </si>
  <si>
    <t>375252</t>
  </si>
  <si>
    <t>0 = no IBD medication currently taken</t>
  </si>
  <si>
    <t>1 = steroids</t>
  </si>
  <si>
    <t>2 = biologics – Anti-­‐TNF Agents ( e.g. Adalimumab (Humira®), Certolizumab pegol (Cimzia®) Golimumab (Simponi®), Infliximab, (Remicade®), Infliximab-­‐dyyb (Inflectra®))</t>
  </si>
  <si>
    <t>3 = biologics -­‐ Integrin receptor antagonists (e.g. Natalizumab (Tysabri®), Vedolizumab (Entyvio™))</t>
  </si>
  <si>
    <t>4 = biologics -­‐ interleukin-­‐antagonists (e.g. ustekinumab (Stelara®))</t>
  </si>
  <si>
    <t>5 = JAK inhibitors or small molecules</t>
  </si>
  <si>
    <t>6 = mesalamine (or mesalazine)</t>
  </si>
  <si>
    <t>7 = thiopurines (e.g. azathioprine, 6-­‐mercaptopurine) or methotrexate</t>
  </si>
  <si>
    <t>8 = other immunomodulators (e.g. mycophenolate, cyclosporine, tacrolimus)</t>
  </si>
  <si>
    <t>9 = study medication</t>
  </si>
  <si>
    <t>10 = others (including probiotics, cellular therapy, nutritional, symptom control)</t>
  </si>
  <si>
    <t>21601607</t>
  </si>
  <si>
    <t>21603907</t>
  </si>
  <si>
    <t>955075</t>
  </si>
  <si>
    <t>21603914</t>
  </si>
  <si>
    <t>947789</t>
  </si>
  <si>
    <t>21600664</t>
  </si>
  <si>
    <t>21603926</t>
  </si>
  <si>
    <t>4186854</t>
  </si>
  <si>
    <t>1989296</t>
  </si>
  <si>
    <t>0 = Normal number of stools</t>
  </si>
  <si>
    <t>1 = 1-2 stools more than normal</t>
  </si>
  <si>
    <t>2 = 3-4 stools more than normal</t>
  </si>
  <si>
    <t>3 = 5 or more stools more than normal</t>
  </si>
  <si>
    <t>605949</t>
  </si>
  <si>
    <t>45884526</t>
  </si>
  <si>
    <t>45882611</t>
  </si>
  <si>
    <t>0 = No blood seen</t>
  </si>
  <si>
    <t xml:space="preserve">1 = Streaks of blood with stool most of the time </t>
  </si>
  <si>
    <t>2 = Obvious blood with stool most of the time</t>
  </si>
  <si>
    <t xml:space="preserve">3 = Blood alone passes </t>
  </si>
  <si>
    <t>605879</t>
  </si>
  <si>
    <t>4115699</t>
  </si>
  <si>
    <t>45877321</t>
  </si>
  <si>
    <t>4026112</t>
  </si>
  <si>
    <t>0 = no symptoms caused by ostomy</t>
  </si>
  <si>
    <t>1 = ostomy leakages</t>
  </si>
  <si>
    <t>2 = nightly emptying</t>
  </si>
  <si>
    <t>3 = frequent daily emptying</t>
  </si>
  <si>
    <t>4 = Other</t>
  </si>
  <si>
    <t>45884341</t>
  </si>
  <si>
    <t>1297663</t>
  </si>
  <si>
    <t>1297662</t>
  </si>
  <si>
    <t>1297166</t>
  </si>
  <si>
    <t>0 = Better</t>
  </si>
  <si>
    <t>1 = No change</t>
  </si>
  <si>
    <t>2 = Worse</t>
  </si>
  <si>
    <t>4146220</t>
  </si>
  <si>
    <t>45878896</t>
  </si>
  <si>
    <t>4334741</t>
  </si>
  <si>
    <t>1 = I feel not at all informed</t>
  </si>
  <si>
    <t>2 = I feel a little informed</t>
  </si>
  <si>
    <t>3 = I feel somewhat informed</t>
  </si>
  <si>
    <t>4 = I feel quite informed</t>
  </si>
  <si>
    <t>5 = I feel very informed</t>
  </si>
  <si>
    <t>37079418</t>
  </si>
  <si>
    <t>37079108</t>
  </si>
  <si>
    <t>37079342</t>
  </si>
  <si>
    <t>37079264</t>
  </si>
  <si>
    <t>37079113</t>
  </si>
  <si>
    <t>0 = Pre-menopause</t>
  </si>
  <si>
    <t>1 = Post-menopause - if you have not had your period &gt;12 months, caused by natural decline of hormones or due to surgery (e.g. menopause that develops after the ovaries are surgically removed)</t>
  </si>
  <si>
    <t>2 = I don't know what my current menopausal status is</t>
  </si>
  <si>
    <t>4331463</t>
  </si>
  <si>
    <t>4295261</t>
  </si>
  <si>
    <t>45876636</t>
  </si>
  <si>
    <t>0 = No</t>
  </si>
  <si>
    <t>1 = Yes</t>
  </si>
  <si>
    <t>45878245</t>
  </si>
  <si>
    <t>45877994</t>
  </si>
  <si>
    <t>45884313</t>
  </si>
  <si>
    <t>#NA</t>
  </si>
  <si>
    <t>0 = I have no other diseases</t>
  </si>
  <si>
    <t>3 = Leg pain when walking due to poor circulation</t>
  </si>
  <si>
    <t>4 = Lung disease (For example, asthma, chronic bronchitis, or emphysema)</t>
  </si>
  <si>
    <t>5 = Diabetes</t>
  </si>
  <si>
    <t>7 = Liver disease</t>
  </si>
  <si>
    <t>8 = Problems caused by stroke</t>
  </si>
  <si>
    <t>9 = Disease of the nervous system (For example, Parkinson’s disease or multiple sclerosis)</t>
  </si>
  <si>
    <t>10 = Other cancer (within the last 5 years)</t>
  </si>
  <si>
    <t>11 = Depression</t>
  </si>
  <si>
    <t>12 = Arthritis</t>
  </si>
  <si>
    <t>Grade 0 on a scale of 0 to 10</t>
  </si>
  <si>
    <t>Grade 1 on a scale of 0 to 10</t>
  </si>
  <si>
    <t>Grade 2 on a scale of 0 to 10</t>
  </si>
  <si>
    <t>Grade 3 on a scale of 0 to 10</t>
  </si>
  <si>
    <t>Grade 4 on a scale of 0 to 10</t>
  </si>
  <si>
    <t>Grade 5 on a scale of 0 to 10</t>
  </si>
  <si>
    <t>Grade 6 on a scale of 0 to 10</t>
  </si>
  <si>
    <t>Grade 7 on a scale of 0 to 10</t>
  </si>
  <si>
    <t>Grade 8 on a scale of 0 to 10</t>
  </si>
  <si>
    <t>Grade 9 on a scale of 0 to 10</t>
  </si>
  <si>
    <t>Grade 10 on a scale of 0 to 10</t>
  </si>
  <si>
    <t>1</t>
  </si>
  <si>
    <t>2 or more</t>
  </si>
  <si>
    <t>3</t>
  </si>
  <si>
    <t>4</t>
  </si>
  <si>
    <t>5</t>
  </si>
  <si>
    <t>6</t>
  </si>
  <si>
    <t>7</t>
  </si>
  <si>
    <t>8</t>
  </si>
  <si>
    <t>9</t>
  </si>
  <si>
    <t>Not at all</t>
  </si>
  <si>
    <t>A little</t>
  </si>
  <si>
    <t>Quite a bit</t>
  </si>
  <si>
    <t>Very much</t>
  </si>
  <si>
    <t>A little bit</t>
  </si>
  <si>
    <t>Somewhat</t>
  </si>
  <si>
    <t>Completely</t>
  </si>
  <si>
    <t>Mostly</t>
  </si>
  <si>
    <t>Moderately</t>
  </si>
  <si>
    <t>Very poor</t>
  </si>
  <si>
    <t>Poor</t>
  </si>
  <si>
    <t>Fair</t>
  </si>
  <si>
    <t>Neither poor nor good</t>
  </si>
  <si>
    <t>Good</t>
  </si>
  <si>
    <t>Very Good</t>
  </si>
  <si>
    <t>Excellent</t>
  </si>
  <si>
    <t>Very severe</t>
  </si>
  <si>
    <t>Severe</t>
  </si>
  <si>
    <t>Moderate</t>
  </si>
  <si>
    <t>Mild</t>
  </si>
  <si>
    <t>None</t>
  </si>
  <si>
    <t>Never</t>
  </si>
  <si>
    <t>Rarely</t>
  </si>
  <si>
    <t>Occasionally</t>
  </si>
  <si>
    <t>Frequently</t>
  </si>
  <si>
    <t>Almost constantly</t>
  </si>
  <si>
    <t>Sometimes</t>
  </si>
  <si>
    <t>Often</t>
  </si>
  <si>
    <t>Always</t>
  </si>
  <si>
    <t>Rarely (once)</t>
  </si>
  <si>
    <t>Sometimes (2-3 times)</t>
  </si>
  <si>
    <t>Often (once a day)</t>
  </si>
  <si>
    <t>Very often (Several times a day)</t>
  </si>
  <si>
    <t>No comorbidities or complications recorded in patient's record</t>
  </si>
  <si>
    <t>Heart Disease</t>
  </si>
  <si>
    <t>Hypertension</t>
  </si>
  <si>
    <t>Lung Disease</t>
  </si>
  <si>
    <t>Gastrointestinal Disease</t>
  </si>
  <si>
    <t>Kidney Disease</t>
  </si>
  <si>
    <t>Liver disease</t>
  </si>
  <si>
    <t>Anemia</t>
  </si>
  <si>
    <t>Cancer</t>
  </si>
  <si>
    <t>Depression</t>
  </si>
  <si>
    <t>Osteoarthritis</t>
  </si>
  <si>
    <t>Back pain</t>
  </si>
  <si>
    <t>Rheumatoid Arthritis</t>
  </si>
  <si>
    <t>Other/Unknown</t>
  </si>
  <si>
    <t>Definitely applies most of the time</t>
  </si>
  <si>
    <t>Applies quite a bit</t>
  </si>
  <si>
    <t>Applies just a little</t>
  </si>
  <si>
    <t>Does not apply</t>
  </si>
  <si>
    <t>MALE</t>
  </si>
  <si>
    <t>FEMALE</t>
  </si>
  <si>
    <t>UNKNOWN</t>
  </si>
  <si>
    <t>Prefer not to say</t>
  </si>
  <si>
    <t>Never smoked tobacco</t>
  </si>
  <si>
    <t>Ex-smoker</t>
  </si>
  <si>
    <t>Smoker</t>
  </si>
  <si>
    <t>Less than once a month</t>
  </si>
  <si>
    <t>2-4 times a month</t>
  </si>
  <si>
    <t>2 or 3 times per week</t>
  </si>
  <si>
    <t>4 or more times a week</t>
  </si>
  <si>
    <t>Type 1 diabetes mellitus</t>
  </si>
  <si>
    <t>Type 2 diabetes mellitus</t>
  </si>
  <si>
    <t>Crohn's disease</t>
  </si>
  <si>
    <t>Ulcerative colitis</t>
  </si>
  <si>
    <t>Inflammatory bowel disease</t>
  </si>
  <si>
    <t>Malignant neoplasm of lung</t>
  </si>
  <si>
    <t>Without any difficulty</t>
  </si>
  <si>
    <t>With a little difficulty</t>
  </si>
  <si>
    <t>With some difficulty</t>
  </si>
  <si>
    <t>With much difficulty</t>
  </si>
  <si>
    <t>Unable to do</t>
  </si>
  <si>
    <t>Light</t>
  </si>
  <si>
    <t>Medium</t>
  </si>
  <si>
    <t>Strong</t>
  </si>
  <si>
    <t>No pain</t>
  </si>
  <si>
    <t>Mild pain</t>
  </si>
  <si>
    <t>Moderate pain</t>
  </si>
  <si>
    <t>Severe pain</t>
  </si>
  <si>
    <t>Therapeutic diet</t>
  </si>
  <si>
    <t>Therapeutic exercise</t>
  </si>
  <si>
    <t>BLOOD GLUCOSE LOWERING DRUGS, EXCL. INSULINS</t>
  </si>
  <si>
    <t>INSULINS AND ANALOGUES</t>
  </si>
  <si>
    <t>Other drugs used in diabetes</t>
  </si>
  <si>
    <t>Insulin pump</t>
  </si>
  <si>
    <t>Subcutaneous glucose sensor</t>
  </si>
  <si>
    <t>Closed loop insulin delivery using continuous automated insulin delivery system active</t>
  </si>
  <si>
    <t>1-2 times</t>
  </si>
  <si>
    <t>I became drunk or intoxicated in past 30D [PROMIS]</t>
  </si>
  <si>
    <t>5 or more times</t>
  </si>
  <si>
    <t>Cardiovascular morbidity</t>
  </si>
  <si>
    <t>Secondary peripheral neuropathy</t>
  </si>
  <si>
    <t>Ulcer of skin of lower extremity</t>
  </si>
  <si>
    <t>Amputation of lower limb</t>
  </si>
  <si>
    <t>Chronic kidney disease</t>
  </si>
  <si>
    <t>Retinopathy due to diabetes mellitus</t>
  </si>
  <si>
    <t>Visual impairment</t>
  </si>
  <si>
    <t>Large positive impact</t>
  </si>
  <si>
    <t>Positive</t>
  </si>
  <si>
    <t>Moderate/medium positive impact</t>
  </si>
  <si>
    <t>Indeterminate</t>
  </si>
  <si>
    <t>Slightly impaired</t>
  </si>
  <si>
    <t>Negative</t>
  </si>
  <si>
    <t>Extremely bothersome</t>
  </si>
  <si>
    <t>Minimal</t>
  </si>
  <si>
    <t>Minor</t>
  </si>
  <si>
    <t>Major</t>
  </si>
  <si>
    <t>Not applicable</t>
  </si>
  <si>
    <t>Not sure</t>
  </si>
  <si>
    <t>Joint function disorder</t>
  </si>
  <si>
    <t>Skin problem</t>
  </si>
  <si>
    <t>Disorder of eye</t>
  </si>
  <si>
    <t>Corticosteroids</t>
  </si>
  <si>
    <t>Monoclonal antibodies</t>
  </si>
  <si>
    <t>Interleukin inhibitors</t>
  </si>
  <si>
    <t>Janus-associated kinase (JAK) inhibitors</t>
  </si>
  <si>
    <t>mesalazine; oral, rectal</t>
  </si>
  <si>
    <t>Other immunosuppressants</t>
  </si>
  <si>
    <t>Immunomodulator</t>
  </si>
  <si>
    <t>Clinical drug trial status</t>
  </si>
  <si>
    <t>Taking medication for condition of interest</t>
  </si>
  <si>
    <t>Normal defecation</t>
  </si>
  <si>
    <t>1-2</t>
  </si>
  <si>
    <t>3-4</t>
  </si>
  <si>
    <t>No bleeding</t>
  </si>
  <si>
    <t>Stool flecked with blood</t>
  </si>
  <si>
    <t>Blood In stool</t>
  </si>
  <si>
    <t>Rectal hemorrhage</t>
  </si>
  <si>
    <t>No signs/symptoms</t>
  </si>
  <si>
    <t>having leakage of stools from the stoma bag</t>
  </si>
  <si>
    <t>having to frequently change stoma bags during the night</t>
  </si>
  <si>
    <t>having to frequently change bags during the day</t>
  </si>
  <si>
    <t>experiencing problems caring for the stoma</t>
  </si>
  <si>
    <t>Better</t>
  </si>
  <si>
    <t>No change</t>
  </si>
  <si>
    <t>Worse</t>
  </si>
  <si>
    <t>I am not at all confident</t>
  </si>
  <si>
    <t>I am a little confident</t>
  </si>
  <si>
    <t>I am somewhat confident</t>
  </si>
  <si>
    <t>I am quite confident</t>
  </si>
  <si>
    <t>I am very confident</t>
  </si>
  <si>
    <t>Premenopausal state</t>
  </si>
  <si>
    <t>Postmenopausal state</t>
  </si>
  <si>
    <t>Don't know</t>
  </si>
  <si>
    <t>Radiation</t>
  </si>
  <si>
    <t>Hormonal therapy/</t>
  </si>
  <si>
    <t>Pain in lower limb</t>
  </si>
  <si>
    <t>Cerebrovascular accident</t>
  </si>
  <si>
    <t>Disorder of nervous system</t>
  </si>
  <si>
    <t>History of Procedure</t>
  </si>
  <si>
    <t>Metastatic carcinoma to breast</t>
  </si>
  <si>
    <t>7 = Very negative impact</t>
  </si>
  <si>
    <t>6 = Negative impact</t>
  </si>
  <si>
    <t>5 = Slightly negative impact</t>
  </si>
  <si>
    <t>4 = No impact</t>
  </si>
  <si>
    <t>3 = Slightly positive impact</t>
  </si>
  <si>
    <t>2 = Positive impact</t>
  </si>
  <si>
    <t>1 = Very positive impact</t>
  </si>
  <si>
    <t>Re-usable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</si>
</sst>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9C5700"/>
      <name val="Calibri"/>
      <family val="2"/>
      <scheme val="minor"/>
    </font>
    <font>
      <sz val="11"/>
      <color rgb="FFFF0000"/>
      <name val="Calibri"/>
      <family val="2"/>
      <scheme val="minor"/>
    </font>
    <font>
      <sz val="10"/>
      <name val="Arial"/>
      <family val="2"/>
    </font>
    <font>
      <sz val="9"/>
      <color theme="1"/>
      <name val="Segoe UI"/>
      <family val="2"/>
    </font>
    <font>
      <sz val="8"/>
      <name val="Calibri"/>
      <family val="2"/>
      <scheme val="minor"/>
    </font>
    <font>
      <sz val="11"/>
      <color theme="1"/>
      <name val="Calibri"/>
      <family val="2"/>
      <scheme val="minor"/>
    </font>
  </fonts>
  <fills count="6">
    <fill>
      <patternFill patternType="none"/>
    </fill>
    <fill>
      <patternFill patternType="gray125"/>
    </fill>
    <fill>
      <patternFill patternType="solid">
        <fgColor rgb="FFFFEB9C"/>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0" fontId="2" fillId="2" borderId="0" applyNumberFormat="0" applyBorder="0" applyAlignment="0" applyProtection="0"/>
    <xf numFmtId="0" fontId="4" fillId="0" borderId="0"/>
  </cellStyleXfs>
  <cellXfs count="30">
    <xf numFmtId="0" fontId="0" fillId="0" borderId="0" xfId="0"/>
    <xf numFmtId="0" fontId="1" fillId="0" borderId="0" xfId="0" applyFont="1" applyAlignment="1">
      <alignment horizontal="left" vertical="center"/>
    </xf>
    <xf numFmtId="0" fontId="1" fillId="3" borderId="0" xfId="0" applyFont="1" applyFill="1" applyAlignment="1">
      <alignment horizontal="left" vertical="center"/>
    </xf>
    <xf numFmtId="0" fontId="1" fillId="4" borderId="0" xfId="0" applyFont="1" applyFill="1" applyAlignment="1">
      <alignment horizontal="left" vertical="center"/>
    </xf>
    <xf numFmtId="0" fontId="1" fillId="5" borderId="0" xfId="0" applyFont="1" applyFill="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xf numFmtId="0" fontId="1" fillId="0" borderId="0" xfId="0" applyFont="1" applyAlignment="1">
      <alignment horizontal="left"/>
    </xf>
    <xf numFmtId="0" fontId="1" fillId="3" borderId="0" xfId="0" applyFont="1" applyFill="1" applyAlignment="1">
      <alignment horizontal="left"/>
    </xf>
    <xf numFmtId="0" fontId="1" fillId="4" borderId="0" xfId="0" applyFont="1" applyFill="1" applyAlignment="1">
      <alignment horizontal="left"/>
    </xf>
    <xf numFmtId="0" fontId="1" fillId="5" borderId="0" xfId="0" applyFont="1" applyFill="1" applyAlignment="1">
      <alignment horizontal="left"/>
    </xf>
    <xf numFmtId="0" fontId="0" fillId="0" borderId="0" xfId="0" applyAlignment="1">
      <alignment horizontal="left"/>
    </xf>
    <xf numFmtId="0" fontId="0" fillId="3" borderId="0" xfId="0" applyFill="1" applyAlignment="1">
      <alignment horizontal="left"/>
    </xf>
    <xf numFmtId="0" fontId="0" fillId="4" borderId="0" xfId="0" applyFill="1" applyAlignment="1">
      <alignment horizontal="left"/>
    </xf>
    <xf numFmtId="0" fontId="0" fillId="5" borderId="0" xfId="0" applyFill="1" applyAlignment="1">
      <alignment horizontal="left"/>
    </xf>
    <xf numFmtId="0" fontId="7" fillId="4" borderId="0" xfId="1" applyFont="1" applyFill="1" applyAlignment="1">
      <alignment horizontal="left"/>
    </xf>
    <xf numFmtId="0" fontId="5" fillId="0" borderId="0" xfId="0" applyFont="1" applyAlignment="1">
      <alignment horizontal="left"/>
    </xf>
    <xf numFmtId="0" fontId="3" fillId="0" borderId="0" xfId="0" applyFont="1" applyAlignment="1">
      <alignment horizontal="left"/>
    </xf>
    <xf numFmtId="0" fontId="3" fillId="3" borderId="0" xfId="0" applyFont="1" applyFill="1" applyAlignment="1">
      <alignment horizontal="left"/>
    </xf>
    <xf numFmtId="0" fontId="0" fillId="0" borderId="0" xfId="0" applyAlignment="1">
      <alignment horizontal="left" wrapText="1"/>
    </xf>
    <xf numFmtId="0" fontId="0" fillId="4" borderId="0" xfId="1" applyFont="1" applyFill="1" applyAlignment="1">
      <alignment horizontal="left"/>
    </xf>
    <xf numFmtId="0" fontId="0" fillId="0" borderId="0" xfId="1" applyFont="1" applyFill="1" applyAlignment="1">
      <alignment horizontal="left"/>
    </xf>
    <xf numFmtId="0" fontId="7" fillId="0" borderId="0" xfId="1" applyFont="1" applyFill="1" applyAlignment="1">
      <alignment horizontal="left"/>
    </xf>
    <xf numFmtId="0" fontId="7" fillId="3" borderId="0" xfId="0" applyFont="1" applyFill="1" applyAlignment="1">
      <alignment horizontal="left"/>
    </xf>
    <xf numFmtId="0" fontId="7" fillId="4" borderId="0" xfId="0" applyFont="1" applyFill="1" applyAlignment="1">
      <alignment horizontal="left"/>
    </xf>
    <xf numFmtId="0" fontId="7" fillId="0" borderId="0" xfId="0" applyFont="1" applyAlignment="1">
      <alignment horizontal="left"/>
    </xf>
    <xf numFmtId="0" fontId="0" fillId="0" borderId="0" xfId="0" applyAlignment="1">
      <alignment horizontal="left" vertical="center" wrapText="1"/>
    </xf>
    <xf numFmtId="0" fontId="0" fillId="3" borderId="0" xfId="0" applyFill="1" applyAlignment="1">
      <alignment horizontal="left" vertical="center"/>
    </xf>
    <xf numFmtId="0" fontId="0" fillId="4" borderId="0" xfId="0" applyFill="1" applyAlignment="1">
      <alignment horizontal="left" vertical="center"/>
    </xf>
    <xf numFmtId="0" fontId="0" fillId="5" borderId="0" xfId="0" applyFill="1" applyAlignment="1">
      <alignment horizontal="left" vertical="center"/>
    </xf>
  </cellXfs>
  <cellStyles count="3">
    <cellStyle name="Neutral" xfId="1" builtinId="28"/>
    <cellStyle name="Normal" xfId="0" builtinId="0"/>
    <cellStyle name="Normal 2" xfId="2" xr:uid="{7DE61C84-7224-4C3A-B9F3-D17D1E01A61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aura Verbeij" id="{82555245-8A6C-4CD3-9C0E-9C0B50D8A5B7}" userId="S::l.verbeij@erasmusmc.nl::fa0f36ca-0de1-484d-bacb-a6d46df23f1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27" dT="2026-03-16T11:59:59.07" personId="{82555245-8A6C-4CD3-9C0E-9C0B50D8A5B7}" id="{327A5479-4289-4B34-A164-A7272819A76A}">
    <text xml:space="preserve">The ostomy was mapped to device so normally in the DEVICE_EXPOSURE table. Now we maybe “abused” the concept to the observation table. Even then the dates can be represented in the observation_period_start_date and observation_period_end_date. </text>
  </threadedComment>
  <threadedComment ref="F216" dT="2026-03-16T12:12:42.01" personId="{82555245-8A6C-4CD3-9C0E-9C0B50D8A5B7}" id="{A4374958-3D45-412D-8399-806017F43FF9}">
    <text>This changed to fit original intent, both have answer yes/no then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60"/>
  <sheetViews>
    <sheetView topLeftCell="F1" zoomScale="70" zoomScaleNormal="70" workbookViewId="0">
      <selection activeCell="S11" sqref="S11"/>
    </sheetView>
  </sheetViews>
  <sheetFormatPr defaultColWidth="8.7265625" defaultRowHeight="14.5" x14ac:dyDescent="0.35"/>
  <cols>
    <col min="1" max="1" width="38.81640625" style="11" bestFit="1" customWidth="1"/>
    <col min="2" max="3" width="34.1796875" style="11" customWidth="1"/>
    <col min="4" max="4" width="90.1796875" style="11" bestFit="1" customWidth="1"/>
    <col min="5" max="5" width="168.1796875" style="11" customWidth="1"/>
    <col min="6" max="6" width="127.26953125" style="11" customWidth="1"/>
    <col min="7" max="12" width="8.7265625" style="11"/>
    <col min="13" max="13" width="13.7265625" style="11" customWidth="1"/>
    <col min="14" max="14" width="15.26953125" style="11" customWidth="1"/>
    <col min="15" max="15" width="16.26953125" style="11" customWidth="1"/>
    <col min="16" max="16" width="13.54296875" style="11" bestFit="1" customWidth="1"/>
    <col min="17" max="16384" width="8.7265625" style="11"/>
  </cols>
  <sheetData>
    <row r="1" spans="1:16" s="7" customFormat="1" x14ac:dyDescent="0.35">
      <c r="A1" s="7" t="s">
        <v>0</v>
      </c>
      <c r="B1" s="7" t="s">
        <v>1</v>
      </c>
      <c r="C1" s="7" t="s">
        <v>2</v>
      </c>
      <c r="D1" s="7" t="s">
        <v>3</v>
      </c>
      <c r="E1" s="7" t="s">
        <v>4</v>
      </c>
      <c r="F1" s="7" t="s">
        <v>5</v>
      </c>
      <c r="G1" s="8" t="s">
        <v>6</v>
      </c>
      <c r="H1" s="9" t="s">
        <v>7</v>
      </c>
      <c r="I1" s="10" t="s">
        <v>8</v>
      </c>
      <c r="J1" s="7" t="s">
        <v>9</v>
      </c>
    </row>
    <row r="2" spans="1:16" x14ac:dyDescent="0.35">
      <c r="A2" s="7" t="s">
        <v>10</v>
      </c>
      <c r="L2" s="7" t="s">
        <v>11</v>
      </c>
      <c r="M2" s="8" t="s">
        <v>6</v>
      </c>
      <c r="N2" s="9" t="s">
        <v>7</v>
      </c>
      <c r="O2" s="10" t="s">
        <v>8</v>
      </c>
      <c r="P2" s="7" t="s">
        <v>16</v>
      </c>
    </row>
    <row r="3" spans="1:16" x14ac:dyDescent="0.35">
      <c r="A3" s="11" t="s">
        <v>12</v>
      </c>
      <c r="B3" s="11" t="s">
        <v>13</v>
      </c>
      <c r="C3" s="11" t="s">
        <v>13</v>
      </c>
      <c r="D3" s="11" t="s">
        <v>14</v>
      </c>
      <c r="E3" s="11" t="s">
        <v>15</v>
      </c>
      <c r="F3" s="11" t="s">
        <v>13</v>
      </c>
      <c r="G3" s="12">
        <v>1</v>
      </c>
      <c r="H3" s="13"/>
      <c r="I3" s="14"/>
      <c r="L3" s="7" t="s">
        <v>21</v>
      </c>
      <c r="M3" s="12">
        <f>SUM(G3:G61)</f>
        <v>51</v>
      </c>
      <c r="N3" s="13">
        <f>SUM(H3:H61)</f>
        <v>1</v>
      </c>
      <c r="O3" s="14">
        <f>SUM(I3:I61)</f>
        <v>7</v>
      </c>
      <c r="P3" s="7">
        <f t="shared" ref="P3:P8" si="0">SUM(M3:O3)</f>
        <v>59</v>
      </c>
    </row>
    <row r="4" spans="1:16" x14ac:dyDescent="0.35">
      <c r="A4" s="11" t="s">
        <v>17</v>
      </c>
      <c r="B4" s="11" t="s">
        <v>13</v>
      </c>
      <c r="C4" s="11" t="s">
        <v>18</v>
      </c>
      <c r="D4" s="11" t="s">
        <v>19</v>
      </c>
      <c r="E4" s="11" t="s">
        <v>20</v>
      </c>
      <c r="F4" s="11" t="s">
        <v>13</v>
      </c>
      <c r="G4" s="12">
        <v>1</v>
      </c>
      <c r="H4" s="13"/>
      <c r="I4" s="14"/>
      <c r="L4" s="7" t="s">
        <v>26</v>
      </c>
      <c r="M4" s="12">
        <f>SUM(G64:G122)</f>
        <v>11</v>
      </c>
      <c r="N4" s="13">
        <f>SUM(H64:H122)</f>
        <v>21</v>
      </c>
      <c r="O4" s="14">
        <f>SUM(I64:I122)</f>
        <v>27</v>
      </c>
      <c r="P4" s="7">
        <f t="shared" si="0"/>
        <v>59</v>
      </c>
    </row>
    <row r="5" spans="1:16" x14ac:dyDescent="0.35">
      <c r="A5" s="11" t="s">
        <v>22</v>
      </c>
      <c r="B5" s="11">
        <v>43054909</v>
      </c>
      <c r="C5" s="5" t="s">
        <v>23</v>
      </c>
      <c r="E5" s="11" t="s">
        <v>24</v>
      </c>
      <c r="F5" s="11" t="s">
        <v>25</v>
      </c>
      <c r="G5" s="12">
        <v>1</v>
      </c>
      <c r="H5" s="13"/>
      <c r="I5" s="14"/>
      <c r="J5" s="11" t="s">
        <v>21</v>
      </c>
      <c r="L5" s="7" t="s">
        <v>31</v>
      </c>
      <c r="M5" s="12">
        <f>SUM(G125:G154)</f>
        <v>4</v>
      </c>
      <c r="N5" s="13">
        <f>SUM(H125:H154)</f>
        <v>23</v>
      </c>
      <c r="O5" s="14">
        <f>SUM(I125:I154)</f>
        <v>3</v>
      </c>
      <c r="P5" s="7">
        <f t="shared" si="0"/>
        <v>30</v>
      </c>
    </row>
    <row r="6" spans="1:16" x14ac:dyDescent="0.35">
      <c r="A6" s="11" t="s">
        <v>27</v>
      </c>
      <c r="B6" s="11">
        <v>432456</v>
      </c>
      <c r="C6" s="5" t="s">
        <v>28</v>
      </c>
      <c r="E6" s="11" t="s">
        <v>29</v>
      </c>
      <c r="F6" s="11" t="s">
        <v>30</v>
      </c>
      <c r="G6" s="12">
        <v>1</v>
      </c>
      <c r="H6" s="13"/>
      <c r="I6" s="14"/>
      <c r="J6" s="11" t="s">
        <v>21</v>
      </c>
      <c r="L6" s="7" t="s">
        <v>35</v>
      </c>
      <c r="M6" s="12">
        <f>SUM(G157:G209)</f>
        <v>35</v>
      </c>
      <c r="N6" s="13">
        <f>SUM(H157:H209)</f>
        <v>17</v>
      </c>
      <c r="O6" s="14">
        <f>SUM(I157:I209)</f>
        <v>1</v>
      </c>
      <c r="P6" s="7">
        <f t="shared" si="0"/>
        <v>53</v>
      </c>
    </row>
    <row r="7" spans="1:16" x14ac:dyDescent="0.35">
      <c r="A7" s="11" t="s">
        <v>32</v>
      </c>
      <c r="B7" s="11">
        <v>4099154</v>
      </c>
      <c r="C7" s="11" t="s">
        <v>13</v>
      </c>
      <c r="E7" s="11" t="s">
        <v>33</v>
      </c>
      <c r="F7" s="11" t="s">
        <v>34</v>
      </c>
      <c r="G7" s="12">
        <v>1</v>
      </c>
      <c r="H7" s="13"/>
      <c r="I7" s="14"/>
      <c r="J7" s="11" t="s">
        <v>21</v>
      </c>
      <c r="L7" s="7" t="s">
        <v>39</v>
      </c>
      <c r="M7" s="12">
        <f>SUM(G212:G260)</f>
        <v>33</v>
      </c>
      <c r="N7" s="13">
        <f>SUM(H212:H231)</f>
        <v>16</v>
      </c>
      <c r="O7" s="14">
        <f>SUM(I212:I230)</f>
        <v>0</v>
      </c>
      <c r="P7" s="7">
        <f t="shared" si="0"/>
        <v>49</v>
      </c>
    </row>
    <row r="8" spans="1:16" x14ac:dyDescent="0.35">
      <c r="A8" s="11" t="s">
        <v>36</v>
      </c>
      <c r="B8" s="11">
        <v>4177340</v>
      </c>
      <c r="C8" s="11" t="s">
        <v>13</v>
      </c>
      <c r="E8" s="11" t="s">
        <v>37</v>
      </c>
      <c r="F8" s="11" t="s">
        <v>38</v>
      </c>
      <c r="G8" s="12">
        <v>1</v>
      </c>
      <c r="H8" s="13"/>
      <c r="I8" s="14"/>
      <c r="J8" s="11" t="s">
        <v>21</v>
      </c>
      <c r="L8" s="7" t="s">
        <v>16</v>
      </c>
      <c r="M8" s="8">
        <f>SUM(M3:M7)</f>
        <v>134</v>
      </c>
      <c r="N8" s="9">
        <f>SUM(N3:N7)</f>
        <v>78</v>
      </c>
      <c r="O8" s="10">
        <f>SUM(O3:O7)</f>
        <v>38</v>
      </c>
      <c r="P8" s="7">
        <f t="shared" si="0"/>
        <v>250</v>
      </c>
    </row>
    <row r="9" spans="1:16" x14ac:dyDescent="0.35">
      <c r="A9" s="11" t="s">
        <v>40</v>
      </c>
      <c r="B9" s="11">
        <v>37208126</v>
      </c>
      <c r="C9" s="5" t="s">
        <v>41</v>
      </c>
      <c r="E9" s="11" t="s">
        <v>42</v>
      </c>
      <c r="F9" s="11" t="s">
        <v>43</v>
      </c>
      <c r="G9" s="12"/>
      <c r="H9" s="13">
        <v>1</v>
      </c>
      <c r="I9" s="14"/>
      <c r="J9" s="11" t="s">
        <v>21</v>
      </c>
    </row>
    <row r="10" spans="1:16" x14ac:dyDescent="0.35">
      <c r="A10" s="11" t="s">
        <v>44</v>
      </c>
      <c r="B10" s="11" t="s">
        <v>13</v>
      </c>
      <c r="C10" s="5" t="s">
        <v>45</v>
      </c>
      <c r="D10" s="11" t="s">
        <v>46</v>
      </c>
      <c r="E10" s="11" t="s">
        <v>47</v>
      </c>
      <c r="F10" s="11" t="s">
        <v>13</v>
      </c>
      <c r="G10" s="12">
        <v>1</v>
      </c>
      <c r="H10" s="13"/>
      <c r="I10" s="14"/>
      <c r="J10" s="11" t="s">
        <v>21</v>
      </c>
    </row>
    <row r="11" spans="1:16" x14ac:dyDescent="0.35">
      <c r="A11" s="11" t="s">
        <v>48</v>
      </c>
      <c r="B11" s="11" t="s">
        <v>13</v>
      </c>
      <c r="C11" s="11" t="s">
        <v>13</v>
      </c>
      <c r="D11" s="11" t="s">
        <v>49</v>
      </c>
      <c r="E11" s="11" t="s">
        <v>50</v>
      </c>
      <c r="F11" s="11" t="s">
        <v>13</v>
      </c>
      <c r="G11" s="12">
        <v>1</v>
      </c>
      <c r="H11" s="13"/>
      <c r="I11" s="14"/>
      <c r="J11" s="11" t="s">
        <v>21</v>
      </c>
    </row>
    <row r="12" spans="1:16" x14ac:dyDescent="0.35">
      <c r="A12" s="11" t="s">
        <v>51</v>
      </c>
      <c r="B12" s="11">
        <v>40764338</v>
      </c>
      <c r="C12" s="5" t="s">
        <v>52</v>
      </c>
      <c r="E12" s="11" t="s">
        <v>53</v>
      </c>
      <c r="F12" s="11" t="s">
        <v>54</v>
      </c>
      <c r="G12" s="12">
        <v>1</v>
      </c>
      <c r="H12" s="13"/>
      <c r="I12" s="14"/>
      <c r="J12" s="11" t="s">
        <v>21</v>
      </c>
    </row>
    <row r="13" spans="1:16" x14ac:dyDescent="0.35">
      <c r="A13" s="11" t="s">
        <v>55</v>
      </c>
      <c r="B13" s="11">
        <v>40764339</v>
      </c>
      <c r="C13" s="5" t="s">
        <v>52</v>
      </c>
      <c r="E13" s="11" t="s">
        <v>56</v>
      </c>
      <c r="F13" s="11" t="s">
        <v>57</v>
      </c>
      <c r="G13" s="12">
        <v>1</v>
      </c>
      <c r="H13" s="13"/>
      <c r="I13" s="14"/>
      <c r="J13" s="11" t="s">
        <v>21</v>
      </c>
    </row>
    <row r="14" spans="1:16" x14ac:dyDescent="0.35">
      <c r="A14" s="11" t="s">
        <v>58</v>
      </c>
      <c r="B14" s="11">
        <v>40764340</v>
      </c>
      <c r="C14" s="5" t="s">
        <v>52</v>
      </c>
      <c r="E14" s="11" t="s">
        <v>59</v>
      </c>
      <c r="F14" s="11" t="s">
        <v>60</v>
      </c>
      <c r="G14" s="12">
        <v>1</v>
      </c>
      <c r="H14" s="13"/>
      <c r="I14" s="14"/>
      <c r="J14" s="11" t="s">
        <v>21</v>
      </c>
    </row>
    <row r="15" spans="1:16" x14ac:dyDescent="0.35">
      <c r="A15" s="11" t="s">
        <v>61</v>
      </c>
      <c r="B15" s="11">
        <v>40764341</v>
      </c>
      <c r="C15" s="5" t="s">
        <v>52</v>
      </c>
      <c r="E15" s="11" t="s">
        <v>62</v>
      </c>
      <c r="F15" s="11" t="s">
        <v>63</v>
      </c>
      <c r="G15" s="12">
        <v>1</v>
      </c>
      <c r="H15" s="13"/>
      <c r="I15" s="14"/>
      <c r="J15" s="11" t="s">
        <v>21</v>
      </c>
    </row>
    <row r="16" spans="1:16" x14ac:dyDescent="0.35">
      <c r="A16" s="11" t="s">
        <v>64</v>
      </c>
      <c r="B16" s="11">
        <v>40764342</v>
      </c>
      <c r="C16" s="5" t="s">
        <v>52</v>
      </c>
      <c r="E16" s="11" t="s">
        <v>65</v>
      </c>
      <c r="F16" s="11" t="s">
        <v>66</v>
      </c>
      <c r="G16" s="12">
        <v>1</v>
      </c>
      <c r="H16" s="13"/>
      <c r="I16" s="14"/>
      <c r="J16" s="11" t="s">
        <v>21</v>
      </c>
    </row>
    <row r="17" spans="1:10" x14ac:dyDescent="0.35">
      <c r="A17" s="11" t="s">
        <v>67</v>
      </c>
      <c r="B17" s="11">
        <v>40764346</v>
      </c>
      <c r="C17" s="5" t="s">
        <v>52</v>
      </c>
      <c r="E17" s="11" t="s">
        <v>68</v>
      </c>
      <c r="F17" s="11" t="s">
        <v>69</v>
      </c>
      <c r="G17" s="12">
        <v>1</v>
      </c>
      <c r="H17" s="13"/>
      <c r="I17" s="14"/>
      <c r="J17" s="11" t="s">
        <v>21</v>
      </c>
    </row>
    <row r="18" spans="1:10" x14ac:dyDescent="0.35">
      <c r="A18" s="11" t="s">
        <v>70</v>
      </c>
      <c r="B18" s="11">
        <v>40764343</v>
      </c>
      <c r="C18" s="5" t="s">
        <v>71</v>
      </c>
      <c r="E18" s="11" t="s">
        <v>72</v>
      </c>
      <c r="F18" s="11" t="s">
        <v>73</v>
      </c>
      <c r="G18" s="12">
        <v>1</v>
      </c>
      <c r="H18" s="13"/>
      <c r="I18" s="14"/>
      <c r="J18" s="11" t="s">
        <v>21</v>
      </c>
    </row>
    <row r="19" spans="1:10" x14ac:dyDescent="0.35">
      <c r="A19" s="11" t="s">
        <v>74</v>
      </c>
      <c r="B19" s="11">
        <v>40764347</v>
      </c>
      <c r="E19" s="11" t="s">
        <v>75</v>
      </c>
      <c r="F19" s="11" t="s">
        <v>76</v>
      </c>
      <c r="G19" s="12">
        <v>1</v>
      </c>
      <c r="H19" s="13"/>
      <c r="I19" s="14"/>
      <c r="J19" s="11" t="s">
        <v>21</v>
      </c>
    </row>
    <row r="20" spans="1:10" x14ac:dyDescent="0.35">
      <c r="A20" s="11" t="s">
        <v>77</v>
      </c>
      <c r="B20" s="11">
        <v>40764345</v>
      </c>
      <c r="E20" s="11" t="s">
        <v>78</v>
      </c>
      <c r="F20" s="11" t="s">
        <v>79</v>
      </c>
      <c r="G20" s="12">
        <v>1</v>
      </c>
      <c r="H20" s="13"/>
      <c r="I20" s="14"/>
      <c r="J20" s="11" t="s">
        <v>21</v>
      </c>
    </row>
    <row r="21" spans="1:10" x14ac:dyDescent="0.35">
      <c r="A21" s="11" t="s">
        <v>80</v>
      </c>
      <c r="B21" s="11">
        <v>40764344</v>
      </c>
      <c r="E21" s="11" t="s">
        <v>81</v>
      </c>
      <c r="F21" s="11" t="s">
        <v>82</v>
      </c>
      <c r="G21" s="12">
        <v>1</v>
      </c>
      <c r="H21" s="13"/>
      <c r="I21" s="14"/>
      <c r="J21" s="11" t="s">
        <v>21</v>
      </c>
    </row>
    <row r="22" spans="1:10" x14ac:dyDescent="0.35">
      <c r="A22" s="11" t="s">
        <v>83</v>
      </c>
      <c r="B22" s="11">
        <v>21491994</v>
      </c>
      <c r="E22" s="11" t="s">
        <v>84</v>
      </c>
      <c r="F22" s="11" t="s">
        <v>85</v>
      </c>
      <c r="G22" s="12">
        <v>1</v>
      </c>
      <c r="H22" s="13"/>
      <c r="I22" s="14"/>
      <c r="J22" s="11" t="s">
        <v>21</v>
      </c>
    </row>
    <row r="23" spans="1:10" x14ac:dyDescent="0.35">
      <c r="A23" s="11" t="s">
        <v>86</v>
      </c>
      <c r="B23" s="11">
        <v>40764368</v>
      </c>
      <c r="E23" s="11" t="s">
        <v>87</v>
      </c>
      <c r="F23" s="11" t="s">
        <v>88</v>
      </c>
      <c r="G23" s="12">
        <v>1</v>
      </c>
      <c r="H23" s="13"/>
      <c r="I23" s="14"/>
      <c r="J23" s="11" t="s">
        <v>21</v>
      </c>
    </row>
    <row r="24" spans="1:10" x14ac:dyDescent="0.35">
      <c r="A24" s="11" t="s">
        <v>89</v>
      </c>
      <c r="B24" s="11">
        <v>40764370</v>
      </c>
      <c r="E24" s="11" t="s">
        <v>90</v>
      </c>
      <c r="F24" s="11" t="s">
        <v>91</v>
      </c>
      <c r="G24" s="12">
        <v>1</v>
      </c>
      <c r="H24" s="13"/>
      <c r="I24" s="14"/>
      <c r="J24" s="11" t="s">
        <v>21</v>
      </c>
    </row>
    <row r="25" spans="1:10" x14ac:dyDescent="0.35">
      <c r="A25" s="11" t="s">
        <v>92</v>
      </c>
      <c r="B25" s="11">
        <v>40764396</v>
      </c>
      <c r="E25" s="11" t="s">
        <v>93</v>
      </c>
      <c r="F25" s="11" t="s">
        <v>94</v>
      </c>
      <c r="G25" s="12">
        <v>1</v>
      </c>
      <c r="H25" s="13"/>
      <c r="I25" s="14"/>
      <c r="J25" s="11" t="s">
        <v>21</v>
      </c>
    </row>
    <row r="26" spans="1:10" x14ac:dyDescent="0.35">
      <c r="A26" s="11" t="s">
        <v>95</v>
      </c>
      <c r="B26" s="11">
        <v>40764702</v>
      </c>
      <c r="E26" s="11" t="s">
        <v>96</v>
      </c>
      <c r="F26" s="11" t="s">
        <v>97</v>
      </c>
      <c r="G26" s="12">
        <v>1</v>
      </c>
      <c r="H26" s="13"/>
      <c r="I26" s="14"/>
      <c r="J26" s="11" t="s">
        <v>21</v>
      </c>
    </row>
    <row r="27" spans="1:10" x14ac:dyDescent="0.35">
      <c r="A27" s="11" t="s">
        <v>98</v>
      </c>
      <c r="B27" s="11">
        <v>40764703</v>
      </c>
      <c r="E27" s="11" t="s">
        <v>99</v>
      </c>
      <c r="F27" s="11" t="s">
        <v>100</v>
      </c>
      <c r="G27" s="12">
        <v>1</v>
      </c>
      <c r="H27" s="13"/>
      <c r="I27" s="14"/>
      <c r="J27" s="11" t="s">
        <v>21</v>
      </c>
    </row>
    <row r="28" spans="1:10" x14ac:dyDescent="0.35">
      <c r="A28" s="11" t="s">
        <v>101</v>
      </c>
      <c r="B28" s="11">
        <v>40764684</v>
      </c>
      <c r="E28" s="11" t="s">
        <v>102</v>
      </c>
      <c r="F28" s="11" t="s">
        <v>103</v>
      </c>
      <c r="G28" s="12">
        <v>1</v>
      </c>
      <c r="H28" s="13"/>
      <c r="I28" s="14"/>
      <c r="J28" s="11" t="s">
        <v>21</v>
      </c>
    </row>
    <row r="29" spans="1:10" x14ac:dyDescent="0.35">
      <c r="A29" s="11" t="s">
        <v>104</v>
      </c>
      <c r="B29" s="11">
        <v>40764710</v>
      </c>
      <c r="E29" s="11" t="s">
        <v>105</v>
      </c>
      <c r="F29" s="11" t="s">
        <v>106</v>
      </c>
      <c r="G29" s="12">
        <v>1</v>
      </c>
      <c r="H29" s="13"/>
      <c r="I29" s="14"/>
      <c r="J29" s="11" t="s">
        <v>21</v>
      </c>
    </row>
    <row r="30" spans="1:10" x14ac:dyDescent="0.35">
      <c r="A30" s="11" t="s">
        <v>107</v>
      </c>
      <c r="B30" s="11">
        <v>40764714</v>
      </c>
      <c r="E30" s="11" t="s">
        <v>108</v>
      </c>
      <c r="F30" s="11" t="s">
        <v>109</v>
      </c>
      <c r="G30" s="12">
        <v>1</v>
      </c>
      <c r="H30" s="13"/>
      <c r="I30" s="14"/>
      <c r="J30" s="11" t="s">
        <v>21</v>
      </c>
    </row>
    <row r="31" spans="1:10" x14ac:dyDescent="0.35">
      <c r="A31" s="11" t="s">
        <v>110</v>
      </c>
      <c r="B31" s="11">
        <v>40764716</v>
      </c>
      <c r="E31" s="11" t="s">
        <v>111</v>
      </c>
      <c r="F31" s="11" t="s">
        <v>112</v>
      </c>
      <c r="G31" s="12">
        <v>1</v>
      </c>
      <c r="H31" s="13"/>
      <c r="I31" s="14"/>
      <c r="J31" s="11" t="s">
        <v>21</v>
      </c>
    </row>
    <row r="32" spans="1:10" x14ac:dyDescent="0.35">
      <c r="A32" s="11" t="s">
        <v>113</v>
      </c>
      <c r="B32" s="11">
        <v>40764728</v>
      </c>
      <c r="E32" s="11" t="s">
        <v>114</v>
      </c>
      <c r="F32" s="11" t="s">
        <v>115</v>
      </c>
      <c r="G32" s="12">
        <v>1</v>
      </c>
      <c r="H32" s="13"/>
      <c r="I32" s="14"/>
      <c r="J32" s="11" t="s">
        <v>21</v>
      </c>
    </row>
    <row r="33" spans="1:10" x14ac:dyDescent="0.35">
      <c r="A33" s="11" t="s">
        <v>116</v>
      </c>
      <c r="B33" s="11">
        <v>40764734</v>
      </c>
      <c r="E33" s="11" t="s">
        <v>117</v>
      </c>
      <c r="F33" s="11" t="s">
        <v>118</v>
      </c>
      <c r="G33" s="12">
        <v>1</v>
      </c>
      <c r="H33" s="13"/>
      <c r="I33" s="14"/>
      <c r="J33" s="11" t="s">
        <v>21</v>
      </c>
    </row>
    <row r="34" spans="1:10" x14ac:dyDescent="0.35">
      <c r="A34" s="11" t="s">
        <v>119</v>
      </c>
      <c r="B34" s="11">
        <v>40764639</v>
      </c>
      <c r="E34" s="11" t="s">
        <v>120</v>
      </c>
      <c r="F34" s="11" t="s">
        <v>121</v>
      </c>
      <c r="G34" s="12">
        <v>1</v>
      </c>
      <c r="H34" s="13"/>
      <c r="I34" s="14"/>
      <c r="J34" s="11" t="s">
        <v>21</v>
      </c>
    </row>
    <row r="35" spans="1:10" x14ac:dyDescent="0.35">
      <c r="A35" s="11" t="s">
        <v>122</v>
      </c>
      <c r="B35" s="11">
        <v>40764643</v>
      </c>
      <c r="E35" s="11" t="s">
        <v>123</v>
      </c>
      <c r="F35" s="11" t="s">
        <v>124</v>
      </c>
      <c r="G35" s="12">
        <v>1</v>
      </c>
      <c r="H35" s="13"/>
      <c r="I35" s="14"/>
      <c r="J35" s="11" t="s">
        <v>21</v>
      </c>
    </row>
    <row r="36" spans="1:10" x14ac:dyDescent="0.35">
      <c r="A36" s="11" t="s">
        <v>125</v>
      </c>
      <c r="B36" s="11">
        <v>40764626</v>
      </c>
      <c r="E36" s="11" t="s">
        <v>126</v>
      </c>
      <c r="F36" s="11" t="s">
        <v>127</v>
      </c>
      <c r="G36" s="12">
        <v>1</v>
      </c>
      <c r="H36" s="13"/>
      <c r="I36" s="14"/>
      <c r="J36" s="11" t="s">
        <v>21</v>
      </c>
    </row>
    <row r="37" spans="1:10" x14ac:dyDescent="0.35">
      <c r="A37" s="11" t="s">
        <v>128</v>
      </c>
      <c r="B37" s="11">
        <v>40764625</v>
      </c>
      <c r="E37" s="11" t="s">
        <v>129</v>
      </c>
      <c r="F37" s="11" t="s">
        <v>130</v>
      </c>
      <c r="G37" s="12">
        <v>1</v>
      </c>
      <c r="H37" s="13"/>
      <c r="I37" s="14"/>
      <c r="J37" s="11" t="s">
        <v>21</v>
      </c>
    </row>
    <row r="38" spans="1:10" x14ac:dyDescent="0.35">
      <c r="A38" s="11" t="s">
        <v>131</v>
      </c>
      <c r="B38" s="11">
        <v>40764747</v>
      </c>
      <c r="E38" s="11" t="s">
        <v>132</v>
      </c>
      <c r="F38" s="11" t="s">
        <v>133</v>
      </c>
      <c r="G38" s="12">
        <v>1</v>
      </c>
      <c r="H38" s="13"/>
      <c r="I38" s="14"/>
      <c r="J38" s="11" t="s">
        <v>21</v>
      </c>
    </row>
    <row r="39" spans="1:10" x14ac:dyDescent="0.35">
      <c r="A39" s="11" t="s">
        <v>134</v>
      </c>
      <c r="B39" s="11">
        <v>40764759</v>
      </c>
      <c r="E39" s="11" t="s">
        <v>135</v>
      </c>
      <c r="F39" s="11" t="s">
        <v>136</v>
      </c>
      <c r="G39" s="12">
        <v>1</v>
      </c>
      <c r="H39" s="13"/>
      <c r="I39" s="14"/>
      <c r="J39" s="11" t="s">
        <v>21</v>
      </c>
    </row>
    <row r="40" spans="1:10" x14ac:dyDescent="0.35">
      <c r="A40" s="11" t="s">
        <v>137</v>
      </c>
      <c r="B40" s="11">
        <v>40764760</v>
      </c>
      <c r="E40" s="11" t="s">
        <v>138</v>
      </c>
      <c r="F40" s="11" t="s">
        <v>139</v>
      </c>
      <c r="G40" s="12">
        <v>1</v>
      </c>
      <c r="H40" s="13"/>
      <c r="I40" s="14"/>
      <c r="J40" s="11" t="s">
        <v>21</v>
      </c>
    </row>
    <row r="41" spans="1:10" x14ac:dyDescent="0.35">
      <c r="A41" s="11" t="s">
        <v>140</v>
      </c>
      <c r="B41" s="11">
        <v>40764748</v>
      </c>
      <c r="E41" s="11" t="s">
        <v>141</v>
      </c>
      <c r="F41" s="11" t="s">
        <v>142</v>
      </c>
      <c r="G41" s="12">
        <v>1</v>
      </c>
      <c r="H41" s="13"/>
      <c r="I41" s="14"/>
      <c r="J41" s="11" t="s">
        <v>21</v>
      </c>
    </row>
    <row r="42" spans="1:10" x14ac:dyDescent="0.35">
      <c r="A42" s="11" t="s">
        <v>143</v>
      </c>
      <c r="B42" s="11">
        <v>46234938</v>
      </c>
      <c r="E42" s="11" t="s">
        <v>144</v>
      </c>
      <c r="F42" s="11" t="s">
        <v>145</v>
      </c>
      <c r="G42" s="12">
        <v>1</v>
      </c>
      <c r="H42" s="13"/>
      <c r="I42" s="14"/>
      <c r="J42" s="11" t="s">
        <v>21</v>
      </c>
    </row>
    <row r="43" spans="1:10" x14ac:dyDescent="0.35">
      <c r="A43" s="11" t="s">
        <v>146</v>
      </c>
      <c r="B43" s="11">
        <v>46235282</v>
      </c>
      <c r="E43" s="11" t="s">
        <v>147</v>
      </c>
      <c r="F43" s="11" t="s">
        <v>148</v>
      </c>
      <c r="G43" s="12">
        <v>1</v>
      </c>
      <c r="H43" s="13"/>
      <c r="I43" s="14"/>
      <c r="J43" s="11" t="s">
        <v>21</v>
      </c>
    </row>
    <row r="44" spans="1:10" x14ac:dyDescent="0.35">
      <c r="A44" s="11" t="s">
        <v>149</v>
      </c>
      <c r="B44" s="11">
        <v>46235283</v>
      </c>
      <c r="E44" s="11" t="s">
        <v>150</v>
      </c>
      <c r="F44" s="11" t="s">
        <v>151</v>
      </c>
      <c r="G44" s="12">
        <v>1</v>
      </c>
      <c r="H44" s="13"/>
      <c r="I44" s="14"/>
      <c r="J44" s="11" t="s">
        <v>21</v>
      </c>
    </row>
    <row r="45" spans="1:10" x14ac:dyDescent="0.35">
      <c r="A45" s="11" t="s">
        <v>152</v>
      </c>
      <c r="B45" s="11">
        <v>46235286</v>
      </c>
      <c r="E45" s="11" t="s">
        <v>153</v>
      </c>
      <c r="F45" s="11" t="s">
        <v>154</v>
      </c>
      <c r="G45" s="12">
        <v>1</v>
      </c>
      <c r="H45" s="13"/>
      <c r="I45" s="14"/>
      <c r="J45" s="11" t="s">
        <v>21</v>
      </c>
    </row>
    <row r="46" spans="1:10" x14ac:dyDescent="0.35">
      <c r="A46" s="11" t="s">
        <v>155</v>
      </c>
      <c r="B46" s="11">
        <v>40764519</v>
      </c>
      <c r="E46" s="11" t="s">
        <v>156</v>
      </c>
      <c r="F46" s="11" t="s">
        <v>157</v>
      </c>
      <c r="G46" s="12">
        <v>1</v>
      </c>
      <c r="H46" s="13"/>
      <c r="I46" s="14"/>
      <c r="J46" s="11" t="s">
        <v>21</v>
      </c>
    </row>
    <row r="47" spans="1:10" x14ac:dyDescent="0.35">
      <c r="A47" s="11" t="s">
        <v>158</v>
      </c>
      <c r="B47" s="11">
        <v>40764530</v>
      </c>
      <c r="E47" s="11" t="s">
        <v>159</v>
      </c>
      <c r="F47" s="11" t="s">
        <v>160</v>
      </c>
      <c r="G47" s="12">
        <v>1</v>
      </c>
      <c r="H47" s="13"/>
      <c r="I47" s="14"/>
      <c r="J47" s="11" t="s">
        <v>21</v>
      </c>
    </row>
    <row r="48" spans="1:10" x14ac:dyDescent="0.35">
      <c r="A48" s="11" t="s">
        <v>161</v>
      </c>
      <c r="B48" s="11">
        <v>40764534</v>
      </c>
      <c r="E48" s="11" t="s">
        <v>162</v>
      </c>
      <c r="F48" s="11" t="s">
        <v>163</v>
      </c>
      <c r="G48" s="12">
        <v>1</v>
      </c>
      <c r="H48" s="13"/>
      <c r="I48" s="14"/>
      <c r="J48" s="11" t="s">
        <v>21</v>
      </c>
    </row>
    <row r="49" spans="1:10" x14ac:dyDescent="0.35">
      <c r="A49" s="11" t="s">
        <v>164</v>
      </c>
      <c r="B49" s="11">
        <v>40764536</v>
      </c>
      <c r="E49" s="11" t="s">
        <v>165</v>
      </c>
      <c r="F49" s="11" t="s">
        <v>166</v>
      </c>
      <c r="G49" s="12">
        <v>1</v>
      </c>
      <c r="H49" s="13"/>
      <c r="I49" s="14"/>
      <c r="J49" s="11" t="s">
        <v>21</v>
      </c>
    </row>
    <row r="50" spans="1:10" x14ac:dyDescent="0.35">
      <c r="A50" s="11" t="s">
        <v>167</v>
      </c>
      <c r="B50" s="11">
        <v>40764344</v>
      </c>
      <c r="E50" s="11" t="s">
        <v>168</v>
      </c>
      <c r="F50" s="11" t="s">
        <v>82</v>
      </c>
      <c r="G50" s="12">
        <v>1</v>
      </c>
      <c r="H50" s="13"/>
      <c r="I50" s="14"/>
      <c r="J50" s="11" t="s">
        <v>21</v>
      </c>
    </row>
    <row r="51" spans="1:10" x14ac:dyDescent="0.35">
      <c r="A51" s="11" t="s">
        <v>169</v>
      </c>
      <c r="B51" s="11">
        <v>21493453</v>
      </c>
      <c r="E51" s="11" t="s">
        <v>170</v>
      </c>
      <c r="F51" s="11" t="s">
        <v>171</v>
      </c>
      <c r="G51" s="12">
        <v>1</v>
      </c>
      <c r="H51" s="13"/>
      <c r="I51" s="14"/>
      <c r="J51" s="11" t="s">
        <v>21</v>
      </c>
    </row>
    <row r="52" spans="1:10" x14ac:dyDescent="0.35">
      <c r="A52" s="11" t="s">
        <v>172</v>
      </c>
      <c r="B52" s="11">
        <v>21493568</v>
      </c>
      <c r="E52" s="11" t="s">
        <v>173</v>
      </c>
      <c r="F52" s="11" t="s">
        <v>174</v>
      </c>
      <c r="G52" s="12">
        <v>1</v>
      </c>
      <c r="H52" s="13"/>
      <c r="I52" s="14"/>
      <c r="J52" s="11" t="s">
        <v>21</v>
      </c>
    </row>
    <row r="53" spans="1:10" x14ac:dyDescent="0.35">
      <c r="A53" s="11" t="s">
        <v>172</v>
      </c>
      <c r="B53" s="11">
        <v>21493569</v>
      </c>
      <c r="E53" s="11" t="s">
        <v>175</v>
      </c>
      <c r="F53" s="11" t="s">
        <v>176</v>
      </c>
      <c r="G53" s="12">
        <v>1</v>
      </c>
      <c r="H53" s="13"/>
      <c r="I53" s="14"/>
      <c r="J53" s="11" t="s">
        <v>21</v>
      </c>
    </row>
    <row r="54" spans="1:10" x14ac:dyDescent="0.35">
      <c r="A54" s="11" t="s">
        <v>177</v>
      </c>
      <c r="B54" s="11">
        <v>21493575</v>
      </c>
      <c r="E54" s="11" t="s">
        <v>178</v>
      </c>
      <c r="F54" s="11" t="s">
        <v>179</v>
      </c>
      <c r="G54" s="12">
        <v>1</v>
      </c>
      <c r="H54" s="13"/>
      <c r="I54" s="14"/>
      <c r="J54" s="11" t="s">
        <v>21</v>
      </c>
    </row>
    <row r="55" spans="1:10" x14ac:dyDescent="0.35">
      <c r="A55" s="11" t="s">
        <v>180</v>
      </c>
      <c r="B55" s="11" t="s">
        <v>13</v>
      </c>
      <c r="E55" s="11" t="s">
        <v>181</v>
      </c>
      <c r="F55" s="11" t="s">
        <v>13</v>
      </c>
      <c r="G55" s="12"/>
      <c r="H55" s="13"/>
      <c r="I55" s="14">
        <v>1</v>
      </c>
      <c r="J55" s="11" t="s">
        <v>21</v>
      </c>
    </row>
    <row r="56" spans="1:10" x14ac:dyDescent="0.35">
      <c r="A56" s="11" t="s">
        <v>182</v>
      </c>
      <c r="B56" s="11" t="s">
        <v>13</v>
      </c>
      <c r="E56" s="11" t="s">
        <v>183</v>
      </c>
      <c r="F56" s="11" t="s">
        <v>13</v>
      </c>
      <c r="G56" s="12"/>
      <c r="H56" s="13"/>
      <c r="I56" s="14">
        <v>1</v>
      </c>
      <c r="J56" s="11" t="s">
        <v>21</v>
      </c>
    </row>
    <row r="57" spans="1:10" x14ac:dyDescent="0.35">
      <c r="A57" s="11" t="s">
        <v>184</v>
      </c>
      <c r="B57" s="11" t="s">
        <v>13</v>
      </c>
      <c r="E57" s="11" t="s">
        <v>185</v>
      </c>
      <c r="F57" s="11" t="s">
        <v>13</v>
      </c>
      <c r="G57" s="12"/>
      <c r="H57" s="13"/>
      <c r="I57" s="14">
        <v>1</v>
      </c>
      <c r="J57" s="11" t="s">
        <v>21</v>
      </c>
    </row>
    <row r="58" spans="1:10" x14ac:dyDescent="0.35">
      <c r="A58" s="11" t="s">
        <v>186</v>
      </c>
      <c r="B58" s="11" t="s">
        <v>13</v>
      </c>
      <c r="E58" s="11" t="s">
        <v>187</v>
      </c>
      <c r="F58" s="11" t="s">
        <v>13</v>
      </c>
      <c r="G58" s="12"/>
      <c r="H58" s="13"/>
      <c r="I58" s="14">
        <v>1</v>
      </c>
      <c r="J58" s="11" t="s">
        <v>21</v>
      </c>
    </row>
    <row r="59" spans="1:10" x14ac:dyDescent="0.35">
      <c r="A59" s="11" t="s">
        <v>188</v>
      </c>
      <c r="B59" s="11" t="s">
        <v>13</v>
      </c>
      <c r="E59" s="11" t="s">
        <v>189</v>
      </c>
      <c r="F59" s="11" t="s">
        <v>13</v>
      </c>
      <c r="G59" s="12"/>
      <c r="H59" s="13"/>
      <c r="I59" s="14">
        <v>1</v>
      </c>
      <c r="J59" s="11" t="s">
        <v>21</v>
      </c>
    </row>
    <row r="60" spans="1:10" x14ac:dyDescent="0.35">
      <c r="A60" s="11" t="s">
        <v>190</v>
      </c>
      <c r="B60" s="11" t="s">
        <v>13</v>
      </c>
      <c r="E60" s="11" t="s">
        <v>191</v>
      </c>
      <c r="F60" s="11" t="s">
        <v>13</v>
      </c>
      <c r="G60" s="12"/>
      <c r="H60" s="13"/>
      <c r="I60" s="14">
        <v>1</v>
      </c>
      <c r="J60" s="11" t="s">
        <v>21</v>
      </c>
    </row>
    <row r="61" spans="1:10" x14ac:dyDescent="0.35">
      <c r="A61" s="11" t="s">
        <v>192</v>
      </c>
      <c r="B61" s="11" t="s">
        <v>13</v>
      </c>
      <c r="E61" s="11" t="s">
        <v>193</v>
      </c>
      <c r="F61" s="11" t="s">
        <v>13</v>
      </c>
      <c r="G61" s="12"/>
      <c r="H61" s="13"/>
      <c r="I61" s="14">
        <v>1</v>
      </c>
      <c r="J61" s="11" t="s">
        <v>21</v>
      </c>
    </row>
    <row r="63" spans="1:10" x14ac:dyDescent="0.35">
      <c r="A63" s="7" t="s">
        <v>194</v>
      </c>
    </row>
    <row r="64" spans="1:10" x14ac:dyDescent="0.35">
      <c r="A64" s="11" t="s">
        <v>195</v>
      </c>
      <c r="B64" s="11">
        <v>4301468</v>
      </c>
      <c r="E64" s="11" t="s">
        <v>196</v>
      </c>
      <c r="F64" s="11" t="s">
        <v>197</v>
      </c>
      <c r="G64" s="12"/>
      <c r="H64" s="13">
        <v>1</v>
      </c>
      <c r="I64" s="14"/>
      <c r="J64" s="11" t="s">
        <v>26</v>
      </c>
    </row>
    <row r="65" spans="1:10" x14ac:dyDescent="0.35">
      <c r="A65" s="11" t="s">
        <v>198</v>
      </c>
      <c r="B65" s="11">
        <v>619861</v>
      </c>
      <c r="E65" s="11" t="s">
        <v>199</v>
      </c>
      <c r="F65" s="11" t="s">
        <v>200</v>
      </c>
      <c r="G65" s="12"/>
      <c r="H65" s="13">
        <v>1</v>
      </c>
      <c r="I65" s="14"/>
      <c r="J65" s="11" t="s">
        <v>26</v>
      </c>
    </row>
    <row r="66" spans="1:10" x14ac:dyDescent="0.35">
      <c r="A66" s="11" t="s">
        <v>201</v>
      </c>
      <c r="B66" s="11">
        <v>4184637</v>
      </c>
      <c r="E66" s="11" t="s">
        <v>202</v>
      </c>
      <c r="F66" s="11" t="s">
        <v>203</v>
      </c>
      <c r="G66" s="12">
        <v>1</v>
      </c>
      <c r="H66" s="13"/>
      <c r="I66" s="14"/>
      <c r="J66" s="11" t="s">
        <v>26</v>
      </c>
    </row>
    <row r="67" spans="1:10" x14ac:dyDescent="0.35">
      <c r="A67" s="11" t="s">
        <v>204</v>
      </c>
      <c r="B67" s="11">
        <v>37398152</v>
      </c>
      <c r="E67" s="11" t="s">
        <v>205</v>
      </c>
      <c r="F67" s="11" t="s">
        <v>206</v>
      </c>
      <c r="G67" s="12"/>
      <c r="H67" s="13">
        <v>1</v>
      </c>
      <c r="I67" s="14"/>
      <c r="J67" s="11" t="s">
        <v>26</v>
      </c>
    </row>
    <row r="68" spans="1:10" x14ac:dyDescent="0.35">
      <c r="A68" s="11" t="s">
        <v>207</v>
      </c>
      <c r="B68" s="11">
        <v>1617103</v>
      </c>
      <c r="E68" s="11" t="s">
        <v>208</v>
      </c>
      <c r="F68" s="11" t="s">
        <v>209</v>
      </c>
      <c r="G68" s="12"/>
      <c r="H68" s="13">
        <v>1</v>
      </c>
      <c r="I68" s="14"/>
      <c r="J68" s="11" t="s">
        <v>26</v>
      </c>
    </row>
    <row r="69" spans="1:10" x14ac:dyDescent="0.35">
      <c r="A69" s="11" t="s">
        <v>210</v>
      </c>
      <c r="B69" s="11">
        <v>1617716</v>
      </c>
      <c r="E69" s="11" t="s">
        <v>211</v>
      </c>
      <c r="F69" s="11" t="s">
        <v>212</v>
      </c>
      <c r="G69" s="12">
        <v>1</v>
      </c>
      <c r="H69" s="13"/>
      <c r="I69" s="14"/>
      <c r="J69" s="11" t="s">
        <v>26</v>
      </c>
    </row>
    <row r="70" spans="1:10" x14ac:dyDescent="0.35">
      <c r="A70" s="11" t="s">
        <v>213</v>
      </c>
      <c r="B70" s="11">
        <v>4029422</v>
      </c>
      <c r="E70" s="11" t="s">
        <v>214</v>
      </c>
      <c r="F70" s="11" t="s">
        <v>215</v>
      </c>
      <c r="G70" s="12"/>
      <c r="H70" s="13">
        <v>1</v>
      </c>
      <c r="I70" s="14"/>
      <c r="J70" s="11" t="s">
        <v>26</v>
      </c>
    </row>
    <row r="71" spans="1:10" x14ac:dyDescent="0.35">
      <c r="A71" s="11" t="s">
        <v>216</v>
      </c>
      <c r="B71" s="11">
        <v>4008265</v>
      </c>
      <c r="E71" s="11" t="s">
        <v>217</v>
      </c>
      <c r="F71" s="11" t="s">
        <v>218</v>
      </c>
      <c r="G71" s="12">
        <v>1</v>
      </c>
      <c r="H71" s="13"/>
      <c r="I71" s="14"/>
      <c r="J71" s="11" t="s">
        <v>26</v>
      </c>
    </row>
    <row r="72" spans="1:10" x14ac:dyDescent="0.35">
      <c r="A72" s="11" t="s">
        <v>219</v>
      </c>
      <c r="B72" s="11">
        <v>4012479</v>
      </c>
      <c r="E72" s="11" t="s">
        <v>220</v>
      </c>
      <c r="F72" s="11" t="s">
        <v>221</v>
      </c>
      <c r="G72" s="12">
        <v>1</v>
      </c>
      <c r="H72" s="13"/>
      <c r="I72" s="14"/>
      <c r="J72" s="11" t="s">
        <v>26</v>
      </c>
    </row>
    <row r="73" spans="1:10" x14ac:dyDescent="0.35">
      <c r="A73" s="11" t="s">
        <v>222</v>
      </c>
      <c r="B73" s="11">
        <v>4101713</v>
      </c>
      <c r="E73" s="11" t="s">
        <v>223</v>
      </c>
      <c r="F73" s="11" t="s">
        <v>224</v>
      </c>
      <c r="G73" s="12">
        <v>1</v>
      </c>
      <c r="H73" s="13"/>
      <c r="I73" s="14"/>
      <c r="J73" s="11" t="s">
        <v>26</v>
      </c>
    </row>
    <row r="74" spans="1:10" x14ac:dyDescent="0.35">
      <c r="A74" s="11" t="s">
        <v>225</v>
      </c>
      <c r="B74" s="11">
        <v>4032789</v>
      </c>
      <c r="E74" s="11" t="s">
        <v>226</v>
      </c>
      <c r="F74" s="11" t="s">
        <v>227</v>
      </c>
      <c r="G74" s="12">
        <v>1</v>
      </c>
      <c r="H74" s="13"/>
      <c r="I74" s="14"/>
      <c r="J74" s="11" t="s">
        <v>26</v>
      </c>
    </row>
    <row r="75" spans="1:10" x14ac:dyDescent="0.35">
      <c r="A75" s="11" t="s">
        <v>228</v>
      </c>
      <c r="B75" s="11">
        <v>4324383</v>
      </c>
      <c r="E75" s="11" t="s">
        <v>229</v>
      </c>
      <c r="F75" s="11" t="s">
        <v>230</v>
      </c>
      <c r="G75" s="12">
        <v>1</v>
      </c>
      <c r="H75" s="13"/>
      <c r="I75" s="14"/>
      <c r="J75" s="11" t="s">
        <v>26</v>
      </c>
    </row>
    <row r="76" spans="1:10" x14ac:dyDescent="0.35">
      <c r="A76" s="11" t="s">
        <v>231</v>
      </c>
      <c r="B76" s="11">
        <v>4152996</v>
      </c>
      <c r="E76" s="11" t="s">
        <v>232</v>
      </c>
      <c r="F76" s="11" t="s">
        <v>233</v>
      </c>
      <c r="G76" s="12">
        <v>1</v>
      </c>
      <c r="H76" s="13"/>
      <c r="I76" s="14"/>
      <c r="J76" s="11" t="s">
        <v>26</v>
      </c>
    </row>
    <row r="77" spans="1:10" x14ac:dyDescent="0.35">
      <c r="A77" s="11" t="s">
        <v>234</v>
      </c>
      <c r="B77" s="11">
        <v>4168705</v>
      </c>
      <c r="E77" s="11" t="s">
        <v>235</v>
      </c>
      <c r="F77" s="11" t="s">
        <v>236</v>
      </c>
      <c r="G77" s="12">
        <v>1</v>
      </c>
      <c r="H77" s="13"/>
      <c r="I77" s="14"/>
      <c r="J77" s="11" t="s">
        <v>26</v>
      </c>
    </row>
    <row r="78" spans="1:10" x14ac:dyDescent="0.35">
      <c r="A78" s="11" t="s">
        <v>237</v>
      </c>
      <c r="B78" s="11">
        <v>4152194</v>
      </c>
      <c r="E78" s="11" t="s">
        <v>238</v>
      </c>
      <c r="F78" s="11" t="s">
        <v>239</v>
      </c>
      <c r="G78" s="12">
        <v>1</v>
      </c>
      <c r="H78" s="13"/>
      <c r="I78" s="14"/>
      <c r="J78" s="11" t="s">
        <v>26</v>
      </c>
    </row>
    <row r="79" spans="1:10" x14ac:dyDescent="0.35">
      <c r="A79" s="11" t="s">
        <v>240</v>
      </c>
      <c r="B79" s="11">
        <v>4154790</v>
      </c>
      <c r="E79" s="11" t="s">
        <v>241</v>
      </c>
      <c r="F79" s="11" t="s">
        <v>242</v>
      </c>
      <c r="G79" s="12">
        <v>1</v>
      </c>
      <c r="H79" s="13"/>
      <c r="I79" s="14"/>
      <c r="J79" s="11" t="s">
        <v>26</v>
      </c>
    </row>
    <row r="80" spans="1:10" x14ac:dyDescent="0.35">
      <c r="A80" s="11" t="s">
        <v>243</v>
      </c>
      <c r="B80" s="11">
        <v>4295036</v>
      </c>
      <c r="E80" s="11" t="s">
        <v>244</v>
      </c>
      <c r="F80" s="11" t="s">
        <v>245</v>
      </c>
      <c r="G80" s="12"/>
      <c r="H80" s="13">
        <v>1</v>
      </c>
      <c r="I80" s="14"/>
      <c r="J80" s="11" t="s">
        <v>26</v>
      </c>
    </row>
    <row r="81" spans="1:10" x14ac:dyDescent="0.35">
      <c r="A81" s="11" t="s">
        <v>246</v>
      </c>
      <c r="B81" s="11">
        <v>4047556</v>
      </c>
      <c r="E81" s="11" t="s">
        <v>247</v>
      </c>
      <c r="F81" s="11" t="s">
        <v>248</v>
      </c>
      <c r="G81" s="12"/>
      <c r="H81" s="13">
        <v>1</v>
      </c>
      <c r="I81" s="14"/>
      <c r="J81" s="11" t="s">
        <v>26</v>
      </c>
    </row>
    <row r="82" spans="1:10" x14ac:dyDescent="0.35">
      <c r="A82" s="11" t="s">
        <v>249</v>
      </c>
      <c r="B82" s="11">
        <v>46273306</v>
      </c>
      <c r="E82" s="11" t="s">
        <v>250</v>
      </c>
      <c r="F82" s="11" t="s">
        <v>251</v>
      </c>
      <c r="G82" s="12"/>
      <c r="H82" s="13">
        <v>1</v>
      </c>
      <c r="I82" s="14"/>
      <c r="J82" s="11" t="s">
        <v>26</v>
      </c>
    </row>
    <row r="83" spans="1:10" x14ac:dyDescent="0.35">
      <c r="A83" s="11" t="s">
        <v>252</v>
      </c>
      <c r="B83" s="11">
        <v>44811024</v>
      </c>
      <c r="E83" s="11" t="s">
        <v>253</v>
      </c>
      <c r="F83" s="11" t="s">
        <v>254</v>
      </c>
      <c r="G83" s="12"/>
      <c r="H83" s="13">
        <v>1</v>
      </c>
      <c r="I83" s="14"/>
      <c r="J83" s="11" t="s">
        <v>26</v>
      </c>
    </row>
    <row r="84" spans="1:10" x14ac:dyDescent="0.35">
      <c r="A84" s="11" t="s">
        <v>255</v>
      </c>
      <c r="B84" s="11">
        <v>442793</v>
      </c>
      <c r="E84" s="11" t="s">
        <v>256</v>
      </c>
      <c r="F84" s="11" t="s">
        <v>257</v>
      </c>
      <c r="G84" s="12"/>
      <c r="H84" s="13">
        <v>1</v>
      </c>
      <c r="I84" s="14"/>
      <c r="J84" s="11" t="s">
        <v>26</v>
      </c>
    </row>
    <row r="85" spans="1:10" x14ac:dyDescent="0.35">
      <c r="A85" s="11" t="s">
        <v>258</v>
      </c>
      <c r="B85" s="11">
        <v>40768166</v>
      </c>
      <c r="E85" s="11" t="s">
        <v>259</v>
      </c>
      <c r="F85" s="11" t="s">
        <v>260</v>
      </c>
      <c r="G85" s="12"/>
      <c r="H85" s="13">
        <v>1</v>
      </c>
      <c r="I85" s="14"/>
      <c r="J85" s="11" t="s">
        <v>26</v>
      </c>
    </row>
    <row r="86" spans="1:10" x14ac:dyDescent="0.35">
      <c r="A86" s="11" t="s">
        <v>261</v>
      </c>
      <c r="B86" s="11">
        <v>1761895</v>
      </c>
      <c r="E86" s="11" t="s">
        <v>262</v>
      </c>
      <c r="F86" s="11" t="s">
        <v>263</v>
      </c>
      <c r="G86" s="12"/>
      <c r="H86" s="13">
        <v>1</v>
      </c>
      <c r="I86" s="14"/>
      <c r="J86" s="11" t="s">
        <v>26</v>
      </c>
    </row>
    <row r="87" spans="1:10" x14ac:dyDescent="0.35">
      <c r="A87" s="11" t="s">
        <v>264</v>
      </c>
      <c r="B87" s="11">
        <v>1989000</v>
      </c>
      <c r="E87" s="11" t="s">
        <v>265</v>
      </c>
      <c r="F87" s="11" t="s">
        <v>266</v>
      </c>
      <c r="G87" s="12"/>
      <c r="H87" s="13">
        <v>1</v>
      </c>
      <c r="I87" s="14"/>
      <c r="J87" s="11" t="s">
        <v>26</v>
      </c>
    </row>
    <row r="88" spans="1:10" x14ac:dyDescent="0.35">
      <c r="A88" s="11" t="s">
        <v>267</v>
      </c>
      <c r="B88" s="11">
        <v>42690315</v>
      </c>
      <c r="E88" s="11" t="s">
        <v>268</v>
      </c>
      <c r="F88" s="11" t="s">
        <v>269</v>
      </c>
      <c r="G88" s="12"/>
      <c r="H88" s="13">
        <v>1</v>
      </c>
      <c r="I88" s="14"/>
      <c r="J88" s="11" t="s">
        <v>26</v>
      </c>
    </row>
    <row r="89" spans="1:10" x14ac:dyDescent="0.35">
      <c r="A89" s="11" t="s">
        <v>270</v>
      </c>
      <c r="B89" s="11">
        <v>4112552</v>
      </c>
      <c r="E89" s="11" t="s">
        <v>271</v>
      </c>
      <c r="F89" s="11" t="s">
        <v>272</v>
      </c>
      <c r="G89" s="12"/>
      <c r="H89" s="13">
        <v>1</v>
      </c>
      <c r="I89" s="14"/>
      <c r="J89" s="11" t="s">
        <v>26</v>
      </c>
    </row>
    <row r="90" spans="1:10" x14ac:dyDescent="0.35">
      <c r="A90" s="11" t="s">
        <v>273</v>
      </c>
      <c r="B90" s="11">
        <v>40764340</v>
      </c>
      <c r="D90" s="11" t="s">
        <v>274</v>
      </c>
      <c r="E90" s="11" t="s">
        <v>275</v>
      </c>
      <c r="F90" s="11" t="s">
        <v>60</v>
      </c>
      <c r="G90" s="12"/>
      <c r="H90" s="15">
        <v>1</v>
      </c>
      <c r="I90" s="14"/>
      <c r="J90" s="11" t="s">
        <v>26</v>
      </c>
    </row>
    <row r="91" spans="1:10" x14ac:dyDescent="0.35">
      <c r="A91" s="11" t="s">
        <v>276</v>
      </c>
      <c r="B91" s="11">
        <v>4072605</v>
      </c>
      <c r="D91" s="11" t="s">
        <v>274</v>
      </c>
      <c r="E91" s="11" t="s">
        <v>277</v>
      </c>
      <c r="F91" s="11" t="s">
        <v>278</v>
      </c>
      <c r="G91" s="12"/>
      <c r="H91" s="13">
        <v>1</v>
      </c>
      <c r="I91" s="14"/>
      <c r="J91" s="11" t="s">
        <v>26</v>
      </c>
    </row>
    <row r="92" spans="1:10" x14ac:dyDescent="0.35">
      <c r="A92" s="11" t="s">
        <v>279</v>
      </c>
      <c r="B92" s="11">
        <v>4021807</v>
      </c>
      <c r="D92" s="11" t="s">
        <v>274</v>
      </c>
      <c r="E92" s="11" t="s">
        <v>280</v>
      </c>
      <c r="F92" s="11" t="s">
        <v>281</v>
      </c>
      <c r="G92" s="12"/>
      <c r="H92" s="13">
        <v>1</v>
      </c>
      <c r="I92" s="14"/>
      <c r="J92" s="11" t="s">
        <v>26</v>
      </c>
    </row>
    <row r="93" spans="1:10" x14ac:dyDescent="0.35">
      <c r="A93" s="11" t="s">
        <v>282</v>
      </c>
      <c r="B93" s="11">
        <v>35810768</v>
      </c>
      <c r="D93" s="11" t="s">
        <v>274</v>
      </c>
      <c r="E93" s="11" t="s">
        <v>283</v>
      </c>
      <c r="F93" s="11" t="s">
        <v>284</v>
      </c>
      <c r="G93" s="12"/>
      <c r="H93" s="13">
        <v>1</v>
      </c>
      <c r="I93" s="14"/>
      <c r="J93" s="11" t="s">
        <v>26</v>
      </c>
    </row>
    <row r="94" spans="1:10" x14ac:dyDescent="0.35">
      <c r="A94" s="11" t="s">
        <v>285</v>
      </c>
      <c r="B94" s="11">
        <v>4200501</v>
      </c>
      <c r="D94" s="11" t="s">
        <v>274</v>
      </c>
      <c r="E94" s="11" t="s">
        <v>286</v>
      </c>
      <c r="F94" s="11" t="s">
        <v>287</v>
      </c>
      <c r="G94" s="12"/>
      <c r="H94" s="13">
        <v>1</v>
      </c>
      <c r="I94" s="14"/>
      <c r="J94" s="11" t="s">
        <v>26</v>
      </c>
    </row>
    <row r="95" spans="1:10" x14ac:dyDescent="0.35">
      <c r="A95" s="11" t="s">
        <v>288</v>
      </c>
      <c r="B95" s="11">
        <v>42870056</v>
      </c>
      <c r="D95" s="11" t="s">
        <v>274</v>
      </c>
      <c r="E95" s="11" t="s">
        <v>289</v>
      </c>
      <c r="F95" s="11" t="s">
        <v>290</v>
      </c>
      <c r="G95" s="12"/>
      <c r="H95" s="13">
        <v>1</v>
      </c>
      <c r="I95" s="14"/>
      <c r="J95" s="11" t="s">
        <v>26</v>
      </c>
    </row>
    <row r="96" spans="1:10" x14ac:dyDescent="0.35">
      <c r="A96" s="11" t="s">
        <v>291</v>
      </c>
      <c r="B96" s="11">
        <v>37154861</v>
      </c>
      <c r="D96" s="11" t="s">
        <v>292</v>
      </c>
      <c r="E96" s="11" t="s">
        <v>293</v>
      </c>
      <c r="F96" s="11" t="s">
        <v>294</v>
      </c>
      <c r="G96" s="12"/>
      <c r="H96" s="13"/>
      <c r="I96" s="14">
        <v>1</v>
      </c>
      <c r="J96" s="11" t="s">
        <v>26</v>
      </c>
    </row>
    <row r="97" spans="1:10" x14ac:dyDescent="0.35">
      <c r="A97" s="11" t="s">
        <v>295</v>
      </c>
      <c r="B97" s="11" t="s">
        <v>13</v>
      </c>
      <c r="D97" s="11" t="s">
        <v>296</v>
      </c>
      <c r="E97" s="11" t="s">
        <v>297</v>
      </c>
      <c r="F97" s="11" t="s">
        <v>13</v>
      </c>
      <c r="G97" s="12"/>
      <c r="H97" s="13"/>
      <c r="I97" s="14">
        <v>1</v>
      </c>
      <c r="J97" s="11" t="s">
        <v>26</v>
      </c>
    </row>
    <row r="98" spans="1:10" x14ac:dyDescent="0.35">
      <c r="A98" s="11" t="s">
        <v>298</v>
      </c>
      <c r="B98" s="11" t="s">
        <v>13</v>
      </c>
      <c r="E98" s="11" t="s">
        <v>299</v>
      </c>
      <c r="F98" s="11" t="s">
        <v>13</v>
      </c>
      <c r="G98" s="12"/>
      <c r="H98" s="13"/>
      <c r="I98" s="14">
        <v>1</v>
      </c>
      <c r="J98" s="11" t="s">
        <v>26</v>
      </c>
    </row>
    <row r="99" spans="1:10" x14ac:dyDescent="0.35">
      <c r="A99" s="11" t="s">
        <v>300</v>
      </c>
      <c r="B99" s="11" t="s">
        <v>13</v>
      </c>
      <c r="E99" s="11" t="s">
        <v>301</v>
      </c>
      <c r="F99" s="11" t="s">
        <v>13</v>
      </c>
      <c r="G99" s="12"/>
      <c r="H99" s="13"/>
      <c r="I99" s="14">
        <v>1</v>
      </c>
      <c r="J99" s="11" t="s">
        <v>26</v>
      </c>
    </row>
    <row r="100" spans="1:10" x14ac:dyDescent="0.35">
      <c r="A100" s="11" t="s">
        <v>302</v>
      </c>
      <c r="B100" s="11" t="s">
        <v>13</v>
      </c>
      <c r="E100" s="11" t="s">
        <v>303</v>
      </c>
      <c r="F100" s="11" t="s">
        <v>13</v>
      </c>
      <c r="G100" s="12"/>
      <c r="H100" s="13"/>
      <c r="I100" s="14">
        <v>1</v>
      </c>
      <c r="J100" s="11" t="s">
        <v>26</v>
      </c>
    </row>
    <row r="101" spans="1:10" x14ac:dyDescent="0.35">
      <c r="A101" s="11" t="s">
        <v>304</v>
      </c>
      <c r="B101" s="11" t="s">
        <v>13</v>
      </c>
      <c r="E101" s="11" t="s">
        <v>305</v>
      </c>
      <c r="F101" s="11" t="s">
        <v>13</v>
      </c>
      <c r="G101" s="12"/>
      <c r="H101" s="13"/>
      <c r="I101" s="14">
        <v>1</v>
      </c>
      <c r="J101" s="11" t="s">
        <v>26</v>
      </c>
    </row>
    <row r="102" spans="1:10" x14ac:dyDescent="0.35">
      <c r="A102" s="11" t="s">
        <v>306</v>
      </c>
      <c r="B102" s="11" t="s">
        <v>13</v>
      </c>
      <c r="E102" s="11" t="s">
        <v>307</v>
      </c>
      <c r="F102" s="11" t="s">
        <v>13</v>
      </c>
      <c r="G102" s="12"/>
      <c r="H102" s="13"/>
      <c r="I102" s="14">
        <v>1</v>
      </c>
      <c r="J102" s="11" t="s">
        <v>26</v>
      </c>
    </row>
    <row r="103" spans="1:10" x14ac:dyDescent="0.35">
      <c r="A103" s="11" t="s">
        <v>308</v>
      </c>
      <c r="B103" s="11" t="s">
        <v>13</v>
      </c>
      <c r="E103" s="11" t="s">
        <v>309</v>
      </c>
      <c r="F103" s="11" t="s">
        <v>13</v>
      </c>
      <c r="G103" s="12"/>
      <c r="H103" s="13"/>
      <c r="I103" s="14">
        <v>1</v>
      </c>
      <c r="J103" s="11" t="s">
        <v>26</v>
      </c>
    </row>
    <row r="104" spans="1:10" x14ac:dyDescent="0.35">
      <c r="A104" s="11" t="s">
        <v>310</v>
      </c>
      <c r="B104" s="11" t="s">
        <v>13</v>
      </c>
      <c r="E104" s="11" t="s">
        <v>311</v>
      </c>
      <c r="F104" s="11" t="s">
        <v>13</v>
      </c>
      <c r="G104" s="12"/>
      <c r="H104" s="13"/>
      <c r="I104" s="14">
        <v>1</v>
      </c>
      <c r="J104" s="11" t="s">
        <v>26</v>
      </c>
    </row>
    <row r="105" spans="1:10" x14ac:dyDescent="0.35">
      <c r="A105" s="11" t="s">
        <v>312</v>
      </c>
      <c r="B105" s="11" t="s">
        <v>13</v>
      </c>
      <c r="E105" s="11" t="s">
        <v>313</v>
      </c>
      <c r="F105" s="11" t="s">
        <v>13</v>
      </c>
      <c r="G105" s="12"/>
      <c r="H105" s="13"/>
      <c r="I105" s="14">
        <v>1</v>
      </c>
      <c r="J105" s="11" t="s">
        <v>26</v>
      </c>
    </row>
    <row r="106" spans="1:10" x14ac:dyDescent="0.35">
      <c r="A106" s="11" t="s">
        <v>314</v>
      </c>
      <c r="B106" s="11" t="s">
        <v>13</v>
      </c>
      <c r="E106" s="11" t="s">
        <v>315</v>
      </c>
      <c r="F106" s="11" t="s">
        <v>13</v>
      </c>
      <c r="G106" s="12"/>
      <c r="H106" s="13"/>
      <c r="I106" s="14">
        <v>1</v>
      </c>
      <c r="J106" s="11" t="s">
        <v>26</v>
      </c>
    </row>
    <row r="107" spans="1:10" x14ac:dyDescent="0.35">
      <c r="A107" s="11" t="s">
        <v>316</v>
      </c>
      <c r="B107" s="11" t="s">
        <v>13</v>
      </c>
      <c r="E107" s="11" t="s">
        <v>317</v>
      </c>
      <c r="F107" s="11" t="s">
        <v>13</v>
      </c>
      <c r="G107" s="12"/>
      <c r="H107" s="13"/>
      <c r="I107" s="14">
        <v>1</v>
      </c>
      <c r="J107" s="11" t="s">
        <v>26</v>
      </c>
    </row>
    <row r="108" spans="1:10" x14ac:dyDescent="0.35">
      <c r="A108" s="11" t="s">
        <v>318</v>
      </c>
      <c r="B108" s="11" t="s">
        <v>13</v>
      </c>
      <c r="E108" s="11" t="s">
        <v>319</v>
      </c>
      <c r="F108" s="11" t="s">
        <v>13</v>
      </c>
      <c r="G108" s="12"/>
      <c r="H108" s="13"/>
      <c r="I108" s="14">
        <v>1</v>
      </c>
      <c r="J108" s="11" t="s">
        <v>26</v>
      </c>
    </row>
    <row r="109" spans="1:10" x14ac:dyDescent="0.35">
      <c r="A109" s="11" t="s">
        <v>320</v>
      </c>
      <c r="B109" s="11" t="s">
        <v>13</v>
      </c>
      <c r="E109" s="11" t="s">
        <v>321</v>
      </c>
      <c r="F109" s="11" t="s">
        <v>13</v>
      </c>
      <c r="G109" s="12"/>
      <c r="H109" s="13"/>
      <c r="I109" s="14">
        <v>1</v>
      </c>
      <c r="J109" s="11" t="s">
        <v>26</v>
      </c>
    </row>
    <row r="110" spans="1:10" x14ac:dyDescent="0.35">
      <c r="A110" s="11" t="s">
        <v>322</v>
      </c>
      <c r="B110" s="11" t="s">
        <v>13</v>
      </c>
      <c r="E110" s="11" t="s">
        <v>323</v>
      </c>
      <c r="F110" s="11" t="s">
        <v>13</v>
      </c>
      <c r="G110" s="12"/>
      <c r="H110" s="13"/>
      <c r="I110" s="14">
        <v>1</v>
      </c>
      <c r="J110" s="11" t="s">
        <v>26</v>
      </c>
    </row>
    <row r="111" spans="1:10" x14ac:dyDescent="0.35">
      <c r="A111" s="11" t="s">
        <v>324</v>
      </c>
      <c r="B111" s="11" t="s">
        <v>13</v>
      </c>
      <c r="E111" s="11" t="s">
        <v>325</v>
      </c>
      <c r="F111" s="11" t="s">
        <v>13</v>
      </c>
      <c r="G111" s="12"/>
      <c r="H111" s="13"/>
      <c r="I111" s="14">
        <v>1</v>
      </c>
      <c r="J111" s="11" t="s">
        <v>26</v>
      </c>
    </row>
    <row r="112" spans="1:10" x14ac:dyDescent="0.35">
      <c r="A112" s="11" t="s">
        <v>326</v>
      </c>
      <c r="B112" s="11" t="s">
        <v>13</v>
      </c>
      <c r="E112" s="11" t="s">
        <v>327</v>
      </c>
      <c r="F112" s="11" t="s">
        <v>13</v>
      </c>
      <c r="G112" s="12"/>
      <c r="H112" s="13"/>
      <c r="I112" s="14">
        <v>1</v>
      </c>
      <c r="J112" s="11" t="s">
        <v>26</v>
      </c>
    </row>
    <row r="113" spans="1:10" x14ac:dyDescent="0.35">
      <c r="A113" s="11" t="s">
        <v>328</v>
      </c>
      <c r="B113" s="11" t="s">
        <v>13</v>
      </c>
      <c r="E113" s="11" t="s">
        <v>329</v>
      </c>
      <c r="F113" s="11" t="s">
        <v>13</v>
      </c>
      <c r="G113" s="12"/>
      <c r="H113" s="13"/>
      <c r="I113" s="14">
        <v>1</v>
      </c>
      <c r="J113" s="11" t="s">
        <v>26</v>
      </c>
    </row>
    <row r="114" spans="1:10" x14ac:dyDescent="0.35">
      <c r="A114" s="11" t="s">
        <v>330</v>
      </c>
      <c r="B114" s="11" t="s">
        <v>13</v>
      </c>
      <c r="E114" s="11" t="s">
        <v>331</v>
      </c>
      <c r="F114" s="11" t="s">
        <v>13</v>
      </c>
      <c r="G114" s="12"/>
      <c r="H114" s="13"/>
      <c r="I114" s="14">
        <v>1</v>
      </c>
      <c r="J114" s="11" t="s">
        <v>26</v>
      </c>
    </row>
    <row r="115" spans="1:10" x14ac:dyDescent="0.35">
      <c r="A115" s="11" t="s">
        <v>332</v>
      </c>
      <c r="B115" s="11" t="s">
        <v>13</v>
      </c>
      <c r="E115" s="11" t="s">
        <v>333</v>
      </c>
      <c r="F115" s="11" t="s">
        <v>13</v>
      </c>
      <c r="G115" s="12"/>
      <c r="H115" s="13"/>
      <c r="I115" s="14">
        <v>1</v>
      </c>
      <c r="J115" s="11" t="s">
        <v>26</v>
      </c>
    </row>
    <row r="116" spans="1:10" x14ac:dyDescent="0.35">
      <c r="A116" s="11" t="s">
        <v>334</v>
      </c>
      <c r="B116" s="11" t="s">
        <v>13</v>
      </c>
      <c r="E116" s="11" t="s">
        <v>335</v>
      </c>
      <c r="F116" s="11" t="s">
        <v>13</v>
      </c>
      <c r="G116" s="12"/>
      <c r="H116" s="13"/>
      <c r="I116" s="14">
        <v>1</v>
      </c>
      <c r="J116" s="11" t="s">
        <v>26</v>
      </c>
    </row>
    <row r="117" spans="1:10" x14ac:dyDescent="0.35">
      <c r="A117" s="11" t="s">
        <v>336</v>
      </c>
      <c r="B117" s="11" t="s">
        <v>13</v>
      </c>
      <c r="E117" s="11" t="s">
        <v>337</v>
      </c>
      <c r="F117" s="11" t="s">
        <v>13</v>
      </c>
      <c r="G117" s="12"/>
      <c r="H117" s="13"/>
      <c r="I117" s="14">
        <v>1</v>
      </c>
      <c r="J117" s="11" t="s">
        <v>26</v>
      </c>
    </row>
    <row r="118" spans="1:10" x14ac:dyDescent="0.35">
      <c r="A118" s="11" t="s">
        <v>338</v>
      </c>
      <c r="B118" s="11" t="s">
        <v>13</v>
      </c>
      <c r="E118" s="11" t="s">
        <v>339</v>
      </c>
      <c r="F118" s="11" t="s">
        <v>13</v>
      </c>
      <c r="G118" s="12"/>
      <c r="H118" s="13"/>
      <c r="I118" s="14">
        <v>1</v>
      </c>
      <c r="J118" s="11" t="s">
        <v>26</v>
      </c>
    </row>
    <row r="119" spans="1:10" x14ac:dyDescent="0.35">
      <c r="A119" s="11" t="s">
        <v>340</v>
      </c>
      <c r="B119" s="11" t="s">
        <v>13</v>
      </c>
      <c r="E119" s="11" t="s">
        <v>341</v>
      </c>
      <c r="F119" s="11" t="s">
        <v>13</v>
      </c>
      <c r="G119" s="12"/>
      <c r="H119" s="13"/>
      <c r="I119" s="14">
        <v>1</v>
      </c>
      <c r="J119" s="11" t="s">
        <v>26</v>
      </c>
    </row>
    <row r="120" spans="1:10" x14ac:dyDescent="0.35">
      <c r="A120" s="11" t="s">
        <v>342</v>
      </c>
      <c r="B120" s="11" t="s">
        <v>13</v>
      </c>
      <c r="D120" s="11" t="s">
        <v>343</v>
      </c>
      <c r="E120" s="11" t="s">
        <v>344</v>
      </c>
      <c r="G120" s="12"/>
      <c r="H120" s="13"/>
      <c r="I120" s="14">
        <v>1</v>
      </c>
      <c r="J120" s="11" t="s">
        <v>26</v>
      </c>
    </row>
    <row r="121" spans="1:10" x14ac:dyDescent="0.35">
      <c r="A121" s="11" t="s">
        <v>345</v>
      </c>
      <c r="B121" s="11" t="s">
        <v>13</v>
      </c>
      <c r="D121" s="11" t="s">
        <v>346</v>
      </c>
      <c r="E121" s="11" t="s">
        <v>347</v>
      </c>
      <c r="G121" s="12"/>
      <c r="H121" s="13"/>
      <c r="I121" s="14">
        <v>1</v>
      </c>
      <c r="J121" s="11" t="s">
        <v>26</v>
      </c>
    </row>
    <row r="122" spans="1:10" x14ac:dyDescent="0.35">
      <c r="A122" s="11" t="s">
        <v>348</v>
      </c>
      <c r="B122" s="11" t="s">
        <v>13</v>
      </c>
      <c r="E122" s="11" t="s">
        <v>349</v>
      </c>
      <c r="G122" s="12"/>
      <c r="H122" s="13"/>
      <c r="I122" s="14">
        <v>1</v>
      </c>
      <c r="J122" s="11" t="s">
        <v>26</v>
      </c>
    </row>
    <row r="124" spans="1:10" x14ac:dyDescent="0.35">
      <c r="A124" s="7" t="s">
        <v>31</v>
      </c>
    </row>
    <row r="125" spans="1:10" x14ac:dyDescent="0.35">
      <c r="A125" s="11" t="s">
        <v>350</v>
      </c>
      <c r="B125" s="11">
        <v>46235351</v>
      </c>
      <c r="E125" s="11" t="s">
        <v>351</v>
      </c>
      <c r="F125" s="11" t="s">
        <v>352</v>
      </c>
      <c r="G125" s="12"/>
      <c r="H125" s="13">
        <v>1</v>
      </c>
      <c r="I125" s="14"/>
      <c r="J125" s="11" t="s">
        <v>31</v>
      </c>
    </row>
    <row r="126" spans="1:10" x14ac:dyDescent="0.35">
      <c r="A126" s="11" t="s">
        <v>353</v>
      </c>
      <c r="B126" s="11">
        <v>4148230</v>
      </c>
      <c r="E126" s="11" t="s">
        <v>354</v>
      </c>
      <c r="F126" s="11" t="s">
        <v>355</v>
      </c>
      <c r="G126" s="12">
        <v>1</v>
      </c>
      <c r="H126" s="13"/>
      <c r="I126" s="14"/>
      <c r="J126" s="11" t="s">
        <v>31</v>
      </c>
    </row>
    <row r="127" spans="1:10" ht="15" x14ac:dyDescent="0.4">
      <c r="A127" s="11" t="s">
        <v>356</v>
      </c>
      <c r="B127" s="11" t="s">
        <v>13</v>
      </c>
      <c r="D127" s="16" t="s">
        <v>357</v>
      </c>
      <c r="E127" s="11" t="s">
        <v>358</v>
      </c>
      <c r="F127" s="11" t="s">
        <v>13</v>
      </c>
      <c r="G127" s="12"/>
      <c r="H127" s="13"/>
      <c r="I127" s="14">
        <v>1</v>
      </c>
      <c r="J127" s="11" t="s">
        <v>31</v>
      </c>
    </row>
    <row r="128" spans="1:10" ht="15" x14ac:dyDescent="0.4">
      <c r="A128" s="11" t="s">
        <v>359</v>
      </c>
      <c r="B128" s="11" t="s">
        <v>13</v>
      </c>
      <c r="D128" s="16" t="s">
        <v>357</v>
      </c>
      <c r="E128" s="11" t="s">
        <v>360</v>
      </c>
      <c r="F128" s="11" t="s">
        <v>13</v>
      </c>
      <c r="G128" s="12"/>
      <c r="H128" s="13"/>
      <c r="I128" s="14">
        <v>1</v>
      </c>
      <c r="J128" s="11" t="s">
        <v>31</v>
      </c>
    </row>
    <row r="129" spans="1:10" x14ac:dyDescent="0.35">
      <c r="A129" s="11" t="s">
        <v>361</v>
      </c>
      <c r="B129" s="11">
        <v>4254214</v>
      </c>
      <c r="E129" s="11" t="s">
        <v>362</v>
      </c>
      <c r="F129" s="11" t="s">
        <v>363</v>
      </c>
      <c r="G129" s="12">
        <v>1</v>
      </c>
      <c r="H129" s="13"/>
      <c r="I129" s="14"/>
      <c r="J129" s="11" t="s">
        <v>31</v>
      </c>
    </row>
    <row r="130" spans="1:10" x14ac:dyDescent="0.35">
      <c r="A130" s="11" t="s">
        <v>364</v>
      </c>
      <c r="B130" s="11">
        <v>37111373</v>
      </c>
      <c r="E130" s="11" t="s">
        <v>365</v>
      </c>
      <c r="F130" s="11" t="s">
        <v>366</v>
      </c>
      <c r="G130" s="12"/>
      <c r="H130" s="13">
        <v>1</v>
      </c>
      <c r="I130" s="14"/>
      <c r="J130" s="11" t="s">
        <v>31</v>
      </c>
    </row>
    <row r="131" spans="1:10" x14ac:dyDescent="0.35">
      <c r="A131" s="11" t="s">
        <v>367</v>
      </c>
      <c r="B131" s="11">
        <v>3021806</v>
      </c>
      <c r="E131" s="11" t="s">
        <v>368</v>
      </c>
      <c r="F131" s="11" t="s">
        <v>369</v>
      </c>
      <c r="G131" s="12"/>
      <c r="H131" s="13">
        <v>1</v>
      </c>
      <c r="I131" s="14"/>
      <c r="J131" s="11" t="s">
        <v>31</v>
      </c>
    </row>
    <row r="132" spans="1:10" x14ac:dyDescent="0.35">
      <c r="A132" s="11" t="s">
        <v>370</v>
      </c>
      <c r="B132" s="11">
        <v>4269429</v>
      </c>
      <c r="E132" s="11" t="s">
        <v>371</v>
      </c>
      <c r="F132" s="11" t="s">
        <v>372</v>
      </c>
      <c r="G132" s="12"/>
      <c r="H132" s="13">
        <v>1</v>
      </c>
      <c r="I132" s="14"/>
      <c r="J132" s="11" t="s">
        <v>31</v>
      </c>
    </row>
    <row r="133" spans="1:10" x14ac:dyDescent="0.35">
      <c r="A133" s="11" t="s">
        <v>373</v>
      </c>
      <c r="B133" s="11">
        <v>4161687</v>
      </c>
      <c r="D133" s="11" t="s">
        <v>374</v>
      </c>
      <c r="E133" s="11" t="s">
        <v>375</v>
      </c>
      <c r="F133" s="11" t="s">
        <v>376</v>
      </c>
      <c r="G133" s="12"/>
      <c r="H133" s="13">
        <v>1</v>
      </c>
      <c r="I133" s="14"/>
      <c r="J133" s="11" t="s">
        <v>31</v>
      </c>
    </row>
    <row r="134" spans="1:10" x14ac:dyDescent="0.35">
      <c r="A134" s="11" t="s">
        <v>377</v>
      </c>
      <c r="B134" s="11">
        <v>4091043</v>
      </c>
      <c r="E134" s="11" t="s">
        <v>378</v>
      </c>
      <c r="F134" s="11" t="s">
        <v>379</v>
      </c>
      <c r="G134" s="12"/>
      <c r="H134" s="13">
        <v>1</v>
      </c>
      <c r="I134" s="14"/>
      <c r="J134" s="11" t="s">
        <v>31</v>
      </c>
    </row>
    <row r="135" spans="1:10" x14ac:dyDescent="0.35">
      <c r="A135" s="11" t="s">
        <v>380</v>
      </c>
      <c r="B135" s="11">
        <v>3185162</v>
      </c>
      <c r="E135" s="11" t="s">
        <v>381</v>
      </c>
      <c r="F135" s="11" t="s">
        <v>382</v>
      </c>
      <c r="G135" s="12"/>
      <c r="H135" s="13">
        <v>1</v>
      </c>
      <c r="I135" s="14"/>
      <c r="J135" s="11" t="s">
        <v>31</v>
      </c>
    </row>
    <row r="136" spans="1:10" x14ac:dyDescent="0.35">
      <c r="A136" s="11" t="s">
        <v>383</v>
      </c>
      <c r="B136" s="11">
        <v>4061945</v>
      </c>
      <c r="E136" s="11" t="s">
        <v>384</v>
      </c>
      <c r="F136" s="11" t="s">
        <v>385</v>
      </c>
      <c r="G136" s="12"/>
      <c r="H136" s="13">
        <v>1</v>
      </c>
      <c r="I136" s="14"/>
      <c r="J136" s="11" t="s">
        <v>31</v>
      </c>
    </row>
    <row r="137" spans="1:10" x14ac:dyDescent="0.35">
      <c r="A137" s="11" t="s">
        <v>386</v>
      </c>
      <c r="B137" s="11">
        <v>4216708</v>
      </c>
      <c r="D137" s="11" t="s">
        <v>387</v>
      </c>
      <c r="E137" s="11" t="s">
        <v>388</v>
      </c>
      <c r="F137" s="11" t="s">
        <v>389</v>
      </c>
      <c r="G137" s="12"/>
      <c r="H137" s="13">
        <v>1</v>
      </c>
      <c r="I137" s="14"/>
      <c r="J137" s="11" t="s">
        <v>31</v>
      </c>
    </row>
    <row r="138" spans="1:10" x14ac:dyDescent="0.35">
      <c r="A138" s="11" t="s">
        <v>390</v>
      </c>
      <c r="B138" s="11">
        <v>44807113</v>
      </c>
      <c r="E138" s="11" t="s">
        <v>391</v>
      </c>
      <c r="F138" s="11" t="s">
        <v>392</v>
      </c>
      <c r="G138" s="12"/>
      <c r="H138" s="13">
        <v>1</v>
      </c>
      <c r="I138" s="14"/>
      <c r="J138" s="11" t="s">
        <v>31</v>
      </c>
    </row>
    <row r="139" spans="1:10" s="17" customFormat="1" x14ac:dyDescent="0.35">
      <c r="A139" s="17" t="s">
        <v>393</v>
      </c>
      <c r="B139" s="11">
        <v>44807118</v>
      </c>
      <c r="E139" s="11" t="s">
        <v>394</v>
      </c>
      <c r="F139" s="17" t="s">
        <v>395</v>
      </c>
      <c r="G139" s="18"/>
      <c r="H139" s="13">
        <v>1</v>
      </c>
      <c r="I139" s="14"/>
      <c r="J139" s="11" t="s">
        <v>31</v>
      </c>
    </row>
    <row r="140" spans="1:10" x14ac:dyDescent="0.35">
      <c r="A140" s="11" t="s">
        <v>396</v>
      </c>
      <c r="B140" s="11">
        <v>765706</v>
      </c>
      <c r="D140" s="11" t="s">
        <v>397</v>
      </c>
      <c r="E140" s="11" t="s">
        <v>398</v>
      </c>
      <c r="F140" s="11" t="s">
        <v>399</v>
      </c>
      <c r="G140" s="12"/>
      <c r="H140" s="13">
        <v>1</v>
      </c>
      <c r="I140" s="14"/>
      <c r="J140" s="11" t="s">
        <v>31</v>
      </c>
    </row>
    <row r="141" spans="1:10" x14ac:dyDescent="0.35">
      <c r="A141" s="11" t="s">
        <v>400</v>
      </c>
      <c r="B141" s="11">
        <v>765706</v>
      </c>
      <c r="D141" s="11" t="s">
        <v>401</v>
      </c>
      <c r="E141" s="11" t="s">
        <v>402</v>
      </c>
      <c r="F141" s="11" t="s">
        <v>399</v>
      </c>
      <c r="G141" s="12"/>
      <c r="H141" s="13">
        <v>1</v>
      </c>
      <c r="I141" s="14"/>
      <c r="J141" s="11" t="s">
        <v>31</v>
      </c>
    </row>
    <row r="142" spans="1:10" x14ac:dyDescent="0.35">
      <c r="A142" s="11" t="s">
        <v>403</v>
      </c>
      <c r="B142" s="11">
        <v>46234759</v>
      </c>
      <c r="E142" s="11" t="s">
        <v>404</v>
      </c>
      <c r="F142" s="11" t="s">
        <v>405</v>
      </c>
      <c r="G142" s="12"/>
      <c r="H142" s="13"/>
      <c r="I142" s="14">
        <v>1</v>
      </c>
      <c r="J142" s="11" t="s">
        <v>31</v>
      </c>
    </row>
    <row r="143" spans="1:10" x14ac:dyDescent="0.35">
      <c r="A143" s="11" t="s">
        <v>406</v>
      </c>
      <c r="B143" s="11">
        <v>4338120</v>
      </c>
      <c r="E143" s="11" t="s">
        <v>407</v>
      </c>
      <c r="F143" s="11" t="s">
        <v>408</v>
      </c>
      <c r="G143" s="12"/>
      <c r="H143" s="13">
        <v>1</v>
      </c>
      <c r="I143" s="14"/>
      <c r="J143" s="11" t="s">
        <v>31</v>
      </c>
    </row>
    <row r="144" spans="1:10" x14ac:dyDescent="0.35">
      <c r="A144" s="11" t="s">
        <v>409</v>
      </c>
      <c r="B144" s="11">
        <v>37017532</v>
      </c>
      <c r="E144" s="11" t="s">
        <v>410</v>
      </c>
      <c r="F144" s="11" t="s">
        <v>411</v>
      </c>
      <c r="G144" s="12">
        <v>1</v>
      </c>
      <c r="H144" s="13"/>
      <c r="I144" s="14"/>
      <c r="J144" s="11" t="s">
        <v>31</v>
      </c>
    </row>
    <row r="145" spans="1:10" x14ac:dyDescent="0.35">
      <c r="A145" s="11" t="s">
        <v>412</v>
      </c>
      <c r="B145" s="11">
        <v>37155847</v>
      </c>
      <c r="D145" s="19" t="s">
        <v>413</v>
      </c>
      <c r="E145" s="11" t="s">
        <v>414</v>
      </c>
      <c r="F145" s="11" t="s">
        <v>415</v>
      </c>
      <c r="G145" s="12">
        <v>1</v>
      </c>
      <c r="H145" s="13"/>
      <c r="I145" s="14"/>
      <c r="J145" s="11" t="s">
        <v>31</v>
      </c>
    </row>
    <row r="146" spans="1:10" x14ac:dyDescent="0.35">
      <c r="A146" s="11" t="s">
        <v>416</v>
      </c>
      <c r="B146" s="11">
        <v>4084699</v>
      </c>
      <c r="D146" s="19" t="s">
        <v>413</v>
      </c>
      <c r="E146" s="11" t="s">
        <v>417</v>
      </c>
      <c r="F146" s="11" t="s">
        <v>418</v>
      </c>
      <c r="G146" s="12"/>
      <c r="H146" s="13">
        <v>1</v>
      </c>
      <c r="I146" s="14"/>
      <c r="J146" s="11" t="s">
        <v>31</v>
      </c>
    </row>
    <row r="147" spans="1:10" x14ac:dyDescent="0.35">
      <c r="A147" s="11" t="s">
        <v>419</v>
      </c>
      <c r="B147" s="11">
        <v>4116025</v>
      </c>
      <c r="D147" s="19" t="s">
        <v>413</v>
      </c>
      <c r="E147" s="11" t="s">
        <v>420</v>
      </c>
      <c r="F147" s="11" t="s">
        <v>421</v>
      </c>
      <c r="G147" s="12"/>
      <c r="H147" s="13">
        <v>1</v>
      </c>
      <c r="I147" s="14"/>
      <c r="J147" s="11" t="s">
        <v>31</v>
      </c>
    </row>
    <row r="148" spans="1:10" x14ac:dyDescent="0.35">
      <c r="A148" s="11" t="s">
        <v>422</v>
      </c>
      <c r="B148" s="11">
        <v>4223659</v>
      </c>
      <c r="D148" s="19" t="s">
        <v>413</v>
      </c>
      <c r="E148" s="11" t="s">
        <v>423</v>
      </c>
      <c r="F148" s="11" t="s">
        <v>424</v>
      </c>
      <c r="G148" s="12"/>
      <c r="H148" s="13">
        <v>1</v>
      </c>
      <c r="I148" s="14"/>
      <c r="J148" s="11" t="s">
        <v>31</v>
      </c>
    </row>
    <row r="149" spans="1:10" x14ac:dyDescent="0.35">
      <c r="A149" s="11" t="s">
        <v>425</v>
      </c>
      <c r="B149" s="11">
        <v>37020196</v>
      </c>
      <c r="E149" s="11" t="s">
        <v>426</v>
      </c>
      <c r="F149" s="11" t="s">
        <v>427</v>
      </c>
      <c r="G149" s="12"/>
      <c r="H149" s="13">
        <v>1</v>
      </c>
      <c r="I149" s="14"/>
      <c r="J149" s="11" t="s">
        <v>31</v>
      </c>
    </row>
    <row r="150" spans="1:10" x14ac:dyDescent="0.35">
      <c r="A150" s="11" t="s">
        <v>428</v>
      </c>
      <c r="B150" s="11">
        <v>1988070</v>
      </c>
      <c r="D150" s="19" t="s">
        <v>413</v>
      </c>
      <c r="E150" s="11" t="s">
        <v>429</v>
      </c>
      <c r="F150" s="11" t="s">
        <v>430</v>
      </c>
      <c r="G150" s="12"/>
      <c r="H150" s="13">
        <v>1</v>
      </c>
      <c r="I150" s="14"/>
      <c r="J150" s="11" t="s">
        <v>31</v>
      </c>
    </row>
    <row r="151" spans="1:10" x14ac:dyDescent="0.35">
      <c r="A151" s="11" t="s">
        <v>431</v>
      </c>
      <c r="B151" s="11">
        <v>4216322</v>
      </c>
      <c r="E151" s="11" t="s">
        <v>432</v>
      </c>
      <c r="F151" s="11" t="s">
        <v>433</v>
      </c>
      <c r="G151" s="12"/>
      <c r="H151" s="13">
        <v>1</v>
      </c>
      <c r="I151" s="14"/>
      <c r="J151" s="11" t="s">
        <v>31</v>
      </c>
    </row>
    <row r="152" spans="1:10" x14ac:dyDescent="0.35">
      <c r="A152" s="11" t="s">
        <v>434</v>
      </c>
      <c r="B152" s="11">
        <v>44807983</v>
      </c>
      <c r="E152" s="11" t="s">
        <v>435</v>
      </c>
      <c r="F152" s="11" t="s">
        <v>436</v>
      </c>
      <c r="G152" s="12"/>
      <c r="H152" s="13">
        <v>1</v>
      </c>
      <c r="I152" s="14"/>
      <c r="J152" s="11" t="s">
        <v>31</v>
      </c>
    </row>
    <row r="153" spans="1:10" x14ac:dyDescent="0.35">
      <c r="A153" s="11" t="s">
        <v>437</v>
      </c>
      <c r="B153" s="11">
        <v>4082394</v>
      </c>
      <c r="E153" s="11" t="s">
        <v>438</v>
      </c>
      <c r="F153" s="11" t="s">
        <v>439</v>
      </c>
      <c r="G153" s="12"/>
      <c r="H153" s="13">
        <v>1</v>
      </c>
      <c r="I153" s="14"/>
      <c r="J153" s="11" t="s">
        <v>31</v>
      </c>
    </row>
    <row r="154" spans="1:10" x14ac:dyDescent="0.35">
      <c r="A154" s="11" t="s">
        <v>440</v>
      </c>
      <c r="B154" s="11">
        <v>604260</v>
      </c>
      <c r="E154" s="11" t="s">
        <v>441</v>
      </c>
      <c r="F154" s="11" t="s">
        <v>442</v>
      </c>
      <c r="G154" s="12"/>
      <c r="H154" s="13">
        <v>1</v>
      </c>
      <c r="I154" s="14"/>
      <c r="J154" s="11" t="s">
        <v>31</v>
      </c>
    </row>
    <row r="156" spans="1:10" x14ac:dyDescent="0.35">
      <c r="A156" s="7" t="s">
        <v>35</v>
      </c>
    </row>
    <row r="157" spans="1:10" x14ac:dyDescent="0.35">
      <c r="A157" s="11" t="s">
        <v>350</v>
      </c>
      <c r="B157" s="11">
        <v>46235351</v>
      </c>
      <c r="E157" s="11" t="s">
        <v>443</v>
      </c>
      <c r="F157" s="11" t="s">
        <v>352</v>
      </c>
      <c r="G157" s="12">
        <v>1</v>
      </c>
      <c r="H157" s="13"/>
      <c r="I157" s="14"/>
    </row>
    <row r="158" spans="1:10" x14ac:dyDescent="0.35">
      <c r="A158" s="11" t="s">
        <v>444</v>
      </c>
      <c r="B158" s="11">
        <v>4172857</v>
      </c>
      <c r="E158" s="11" t="s">
        <v>445</v>
      </c>
      <c r="F158" s="11" t="s">
        <v>446</v>
      </c>
      <c r="G158" s="12"/>
      <c r="H158" s="13">
        <v>1</v>
      </c>
      <c r="I158" s="14"/>
      <c r="J158" s="11" t="s">
        <v>35</v>
      </c>
    </row>
    <row r="159" spans="1:10" x14ac:dyDescent="0.35">
      <c r="A159" s="11" t="s">
        <v>447</v>
      </c>
      <c r="B159" s="11">
        <v>4179963</v>
      </c>
      <c r="E159" s="11" t="s">
        <v>448</v>
      </c>
      <c r="F159" s="11" t="s">
        <v>449</v>
      </c>
      <c r="G159" s="12"/>
      <c r="H159" s="13">
        <v>1</v>
      </c>
      <c r="I159" s="14"/>
      <c r="J159" s="11" t="s">
        <v>35</v>
      </c>
    </row>
    <row r="160" spans="1:10" x14ac:dyDescent="0.35">
      <c r="A160" s="11" t="s">
        <v>450</v>
      </c>
      <c r="B160" s="11">
        <v>1242725</v>
      </c>
      <c r="E160" s="11" t="s">
        <v>451</v>
      </c>
      <c r="F160" s="11" t="s">
        <v>452</v>
      </c>
      <c r="G160" s="12">
        <v>1</v>
      </c>
      <c r="H160" s="13"/>
      <c r="I160" s="14"/>
      <c r="J160" s="11" t="s">
        <v>35</v>
      </c>
    </row>
    <row r="161" spans="1:10" x14ac:dyDescent="0.35">
      <c r="A161" s="11" t="s">
        <v>453</v>
      </c>
      <c r="B161" s="11">
        <v>4273629</v>
      </c>
      <c r="E161" s="11" t="s">
        <v>454</v>
      </c>
      <c r="F161" s="11" t="s">
        <v>455</v>
      </c>
      <c r="G161" s="12">
        <v>1</v>
      </c>
      <c r="H161" s="13"/>
      <c r="I161" s="14"/>
      <c r="J161" s="11" t="s">
        <v>35</v>
      </c>
    </row>
    <row r="162" spans="1:10" x14ac:dyDescent="0.35">
      <c r="A162" s="11" t="s">
        <v>456</v>
      </c>
      <c r="B162" s="11">
        <v>4061650</v>
      </c>
      <c r="E162" s="11" t="s">
        <v>457</v>
      </c>
      <c r="F162" s="11" t="s">
        <v>458</v>
      </c>
      <c r="G162" s="12">
        <v>1</v>
      </c>
      <c r="H162" s="13"/>
      <c r="I162" s="14"/>
      <c r="J162" s="11" t="s">
        <v>35</v>
      </c>
    </row>
    <row r="163" spans="1:10" x14ac:dyDescent="0.35">
      <c r="A163" s="11" t="s">
        <v>459</v>
      </c>
      <c r="B163" s="11">
        <v>4194253</v>
      </c>
      <c r="E163" s="11" t="s">
        <v>460</v>
      </c>
      <c r="F163" s="11" t="s">
        <v>461</v>
      </c>
      <c r="G163" s="12">
        <v>1</v>
      </c>
      <c r="H163" s="13"/>
      <c r="I163" s="14"/>
      <c r="J163" s="11" t="s">
        <v>35</v>
      </c>
    </row>
    <row r="164" spans="1:10" x14ac:dyDescent="0.35">
      <c r="A164" s="11" t="s">
        <v>462</v>
      </c>
      <c r="B164" s="11">
        <v>701340</v>
      </c>
      <c r="E164" s="11" t="s">
        <v>463</v>
      </c>
      <c r="F164" s="11" t="s">
        <v>464</v>
      </c>
      <c r="G164" s="12">
        <v>1</v>
      </c>
      <c r="H164" s="13"/>
      <c r="I164" s="14"/>
      <c r="J164" s="11" t="s">
        <v>35</v>
      </c>
    </row>
    <row r="165" spans="1:10" x14ac:dyDescent="0.35">
      <c r="A165" s="11" t="s">
        <v>465</v>
      </c>
      <c r="B165" s="11">
        <v>701341</v>
      </c>
      <c r="E165" s="11" t="s">
        <v>466</v>
      </c>
      <c r="F165" s="11" t="s">
        <v>467</v>
      </c>
      <c r="G165" s="12">
        <v>1</v>
      </c>
      <c r="H165" s="13"/>
      <c r="I165" s="14"/>
      <c r="J165" s="11" t="s">
        <v>35</v>
      </c>
    </row>
    <row r="166" spans="1:10" x14ac:dyDescent="0.35">
      <c r="A166" s="11" t="s">
        <v>468</v>
      </c>
      <c r="B166" s="11">
        <v>701342</v>
      </c>
      <c r="E166" s="11" t="s">
        <v>469</v>
      </c>
      <c r="F166" s="11" t="s">
        <v>470</v>
      </c>
      <c r="G166" s="12">
        <v>1</v>
      </c>
      <c r="H166" s="13"/>
      <c r="I166" s="14"/>
      <c r="J166" s="11" t="s">
        <v>35</v>
      </c>
    </row>
    <row r="167" spans="1:10" x14ac:dyDescent="0.35">
      <c r="A167" s="11" t="s">
        <v>471</v>
      </c>
      <c r="B167" s="11">
        <v>701343</v>
      </c>
      <c r="E167" s="11" t="s">
        <v>472</v>
      </c>
      <c r="F167" s="11" t="s">
        <v>473</v>
      </c>
      <c r="G167" s="12">
        <v>1</v>
      </c>
      <c r="H167" s="13"/>
      <c r="I167" s="14"/>
      <c r="J167" s="11" t="s">
        <v>35</v>
      </c>
    </row>
    <row r="168" spans="1:10" x14ac:dyDescent="0.35">
      <c r="A168" s="11" t="s">
        <v>474</v>
      </c>
      <c r="B168" s="11">
        <v>701344</v>
      </c>
      <c r="E168" s="11" t="s">
        <v>475</v>
      </c>
      <c r="F168" s="11" t="s">
        <v>476</v>
      </c>
      <c r="G168" s="12">
        <v>1</v>
      </c>
      <c r="H168" s="13"/>
      <c r="I168" s="14"/>
      <c r="J168" s="11" t="s">
        <v>35</v>
      </c>
    </row>
    <row r="169" spans="1:10" x14ac:dyDescent="0.35">
      <c r="A169" s="11" t="s">
        <v>477</v>
      </c>
      <c r="B169" s="11">
        <v>701345</v>
      </c>
      <c r="E169" s="11" t="s">
        <v>478</v>
      </c>
      <c r="F169" s="11" t="s">
        <v>479</v>
      </c>
      <c r="G169" s="12">
        <v>1</v>
      </c>
      <c r="H169" s="13"/>
      <c r="I169" s="14"/>
      <c r="J169" s="11" t="s">
        <v>35</v>
      </c>
    </row>
    <row r="170" spans="1:10" x14ac:dyDescent="0.35">
      <c r="A170" s="11" t="s">
        <v>480</v>
      </c>
      <c r="B170" s="11">
        <v>701346</v>
      </c>
      <c r="E170" s="11" t="s">
        <v>481</v>
      </c>
      <c r="F170" s="11" t="s">
        <v>482</v>
      </c>
      <c r="G170" s="12">
        <v>1</v>
      </c>
      <c r="H170" s="13"/>
      <c r="I170" s="14"/>
      <c r="J170" s="11" t="s">
        <v>35</v>
      </c>
    </row>
    <row r="171" spans="1:10" x14ac:dyDescent="0.35">
      <c r="A171" s="11" t="s">
        <v>483</v>
      </c>
      <c r="B171" s="11">
        <v>701347</v>
      </c>
      <c r="E171" s="11" t="s">
        <v>484</v>
      </c>
      <c r="F171" s="11" t="s">
        <v>485</v>
      </c>
      <c r="G171" s="12">
        <v>1</v>
      </c>
      <c r="H171" s="13"/>
      <c r="I171" s="14"/>
      <c r="J171" s="11" t="s">
        <v>35</v>
      </c>
    </row>
    <row r="172" spans="1:10" x14ac:dyDescent="0.35">
      <c r="A172" s="11" t="s">
        <v>486</v>
      </c>
      <c r="B172" s="11">
        <v>701348</v>
      </c>
      <c r="E172" s="11" t="s">
        <v>487</v>
      </c>
      <c r="F172" s="11" t="s">
        <v>488</v>
      </c>
      <c r="G172" s="12">
        <v>1</v>
      </c>
      <c r="H172" s="13"/>
      <c r="I172" s="14"/>
      <c r="J172" s="11" t="s">
        <v>35</v>
      </c>
    </row>
    <row r="173" spans="1:10" x14ac:dyDescent="0.35">
      <c r="A173" s="11" t="s">
        <v>489</v>
      </c>
      <c r="B173" s="11">
        <v>701349</v>
      </c>
      <c r="E173" s="11" t="s">
        <v>490</v>
      </c>
      <c r="F173" s="11" t="s">
        <v>491</v>
      </c>
      <c r="G173" s="12">
        <v>1</v>
      </c>
      <c r="H173" s="13"/>
      <c r="I173" s="14"/>
      <c r="J173" s="11" t="s">
        <v>35</v>
      </c>
    </row>
    <row r="174" spans="1:10" x14ac:dyDescent="0.35">
      <c r="A174" s="11" t="s">
        <v>492</v>
      </c>
      <c r="B174" s="11">
        <v>701350</v>
      </c>
      <c r="E174" s="11" t="s">
        <v>493</v>
      </c>
      <c r="F174" s="11" t="s">
        <v>494</v>
      </c>
      <c r="G174" s="12">
        <v>1</v>
      </c>
      <c r="H174" s="13"/>
      <c r="I174" s="14"/>
      <c r="J174" s="11" t="s">
        <v>35</v>
      </c>
    </row>
    <row r="175" spans="1:10" x14ac:dyDescent="0.35">
      <c r="A175" s="11" t="s">
        <v>495</v>
      </c>
      <c r="B175" s="11">
        <v>701332</v>
      </c>
      <c r="E175" s="11" t="s">
        <v>496</v>
      </c>
      <c r="F175" s="11" t="s">
        <v>497</v>
      </c>
      <c r="G175" s="12">
        <v>1</v>
      </c>
      <c r="H175" s="13"/>
      <c r="I175" s="14"/>
      <c r="J175" s="11" t="s">
        <v>35</v>
      </c>
    </row>
    <row r="176" spans="1:10" x14ac:dyDescent="0.35">
      <c r="A176" s="11" t="s">
        <v>498</v>
      </c>
      <c r="B176" s="11">
        <v>701351</v>
      </c>
      <c r="E176" s="11" t="s">
        <v>499</v>
      </c>
      <c r="F176" s="11" t="s">
        <v>500</v>
      </c>
      <c r="G176" s="12">
        <v>1</v>
      </c>
      <c r="H176" s="13"/>
      <c r="I176" s="14"/>
      <c r="J176" s="11" t="s">
        <v>35</v>
      </c>
    </row>
    <row r="177" spans="1:10" x14ac:dyDescent="0.35">
      <c r="A177" s="11" t="s">
        <v>501</v>
      </c>
      <c r="B177" s="11">
        <v>701352</v>
      </c>
      <c r="E177" s="11" t="s">
        <v>502</v>
      </c>
      <c r="F177" s="11" t="s">
        <v>503</v>
      </c>
      <c r="G177" s="12">
        <v>1</v>
      </c>
      <c r="H177" s="13"/>
      <c r="I177" s="14"/>
      <c r="J177" s="11" t="s">
        <v>35</v>
      </c>
    </row>
    <row r="178" spans="1:10" x14ac:dyDescent="0.35">
      <c r="A178" s="11" t="s">
        <v>504</v>
      </c>
      <c r="B178" s="11">
        <v>701353</v>
      </c>
      <c r="E178" s="11" t="s">
        <v>505</v>
      </c>
      <c r="F178" s="11" t="s">
        <v>506</v>
      </c>
      <c r="G178" s="12">
        <v>1</v>
      </c>
      <c r="H178" s="13"/>
      <c r="I178" s="14"/>
      <c r="J178" s="11" t="s">
        <v>35</v>
      </c>
    </row>
    <row r="179" spans="1:10" x14ac:dyDescent="0.35">
      <c r="A179" s="11" t="s">
        <v>507</v>
      </c>
      <c r="B179" s="11">
        <v>701354</v>
      </c>
      <c r="E179" s="11" t="s">
        <v>508</v>
      </c>
      <c r="F179" s="11" t="s">
        <v>509</v>
      </c>
      <c r="G179" s="12">
        <v>1</v>
      </c>
      <c r="H179" s="13"/>
      <c r="I179" s="14"/>
      <c r="J179" s="11" t="s">
        <v>35</v>
      </c>
    </row>
    <row r="180" spans="1:10" x14ac:dyDescent="0.35">
      <c r="A180" s="11" t="s">
        <v>510</v>
      </c>
      <c r="B180" s="11">
        <v>701355</v>
      </c>
      <c r="E180" s="11" t="s">
        <v>511</v>
      </c>
      <c r="F180" s="11" t="s">
        <v>512</v>
      </c>
      <c r="G180" s="12">
        <v>1</v>
      </c>
      <c r="H180" s="13"/>
      <c r="I180" s="14"/>
      <c r="J180" s="11" t="s">
        <v>35</v>
      </c>
    </row>
    <row r="181" spans="1:10" x14ac:dyDescent="0.35">
      <c r="A181" s="11" t="s">
        <v>513</v>
      </c>
      <c r="B181" s="11">
        <v>701356</v>
      </c>
      <c r="E181" s="11" t="s">
        <v>514</v>
      </c>
      <c r="F181" s="11" t="s">
        <v>515</v>
      </c>
      <c r="G181" s="12">
        <v>1</v>
      </c>
      <c r="H181" s="13"/>
      <c r="I181" s="14"/>
      <c r="J181" s="11" t="s">
        <v>35</v>
      </c>
    </row>
    <row r="182" spans="1:10" x14ac:dyDescent="0.35">
      <c r="A182" s="11" t="s">
        <v>516</v>
      </c>
      <c r="B182" s="11">
        <v>701357</v>
      </c>
      <c r="E182" s="11" t="s">
        <v>517</v>
      </c>
      <c r="F182" s="11" t="s">
        <v>518</v>
      </c>
      <c r="G182" s="12">
        <v>1</v>
      </c>
      <c r="H182" s="13"/>
      <c r="I182" s="14"/>
      <c r="J182" s="11" t="s">
        <v>35</v>
      </c>
    </row>
    <row r="183" spans="1:10" x14ac:dyDescent="0.35">
      <c r="A183" s="11" t="s">
        <v>519</v>
      </c>
      <c r="B183" s="11">
        <v>701358</v>
      </c>
      <c r="E183" s="11" t="s">
        <v>520</v>
      </c>
      <c r="F183" s="11" t="s">
        <v>521</v>
      </c>
      <c r="G183" s="12">
        <v>1</v>
      </c>
      <c r="H183" s="13"/>
      <c r="I183" s="14"/>
      <c r="J183" s="11" t="s">
        <v>35</v>
      </c>
    </row>
    <row r="184" spans="1:10" x14ac:dyDescent="0.35">
      <c r="A184" s="11" t="s">
        <v>522</v>
      </c>
      <c r="B184" s="11">
        <v>701359</v>
      </c>
      <c r="E184" s="11" t="s">
        <v>523</v>
      </c>
      <c r="F184" s="11" t="s">
        <v>524</v>
      </c>
      <c r="G184" s="12">
        <v>1</v>
      </c>
      <c r="H184" s="13"/>
      <c r="I184" s="14"/>
      <c r="J184" s="11" t="s">
        <v>35</v>
      </c>
    </row>
    <row r="185" spans="1:10" x14ac:dyDescent="0.35">
      <c r="A185" s="11" t="s">
        <v>525</v>
      </c>
      <c r="B185" s="11">
        <v>701360</v>
      </c>
      <c r="E185" s="11" t="s">
        <v>526</v>
      </c>
      <c r="F185" s="11" t="s">
        <v>527</v>
      </c>
      <c r="G185" s="12">
        <v>1</v>
      </c>
      <c r="H185" s="13"/>
      <c r="I185" s="14"/>
      <c r="J185" s="11" t="s">
        <v>35</v>
      </c>
    </row>
    <row r="186" spans="1:10" x14ac:dyDescent="0.35">
      <c r="A186" s="11" t="s">
        <v>528</v>
      </c>
      <c r="B186" s="11">
        <v>701361</v>
      </c>
      <c r="E186" s="11" t="s">
        <v>529</v>
      </c>
      <c r="F186" s="11" t="s">
        <v>530</v>
      </c>
      <c r="G186" s="12">
        <v>1</v>
      </c>
      <c r="H186" s="13"/>
      <c r="I186" s="14"/>
      <c r="J186" s="11" t="s">
        <v>35</v>
      </c>
    </row>
    <row r="187" spans="1:10" x14ac:dyDescent="0.35">
      <c r="A187" s="11" t="s">
        <v>531</v>
      </c>
      <c r="B187" s="11">
        <v>701362</v>
      </c>
      <c r="E187" s="11" t="s">
        <v>532</v>
      </c>
      <c r="F187" s="11" t="s">
        <v>533</v>
      </c>
      <c r="G187" s="12">
        <v>1</v>
      </c>
      <c r="H187" s="13"/>
      <c r="I187" s="14"/>
      <c r="J187" s="11" t="s">
        <v>35</v>
      </c>
    </row>
    <row r="188" spans="1:10" x14ac:dyDescent="0.35">
      <c r="A188" s="11" t="s">
        <v>534</v>
      </c>
      <c r="B188" s="11">
        <v>701363</v>
      </c>
      <c r="E188" s="11" t="s">
        <v>535</v>
      </c>
      <c r="F188" s="11" t="s">
        <v>536</v>
      </c>
      <c r="G188" s="12">
        <v>1</v>
      </c>
      <c r="H188" s="13"/>
      <c r="I188" s="14"/>
      <c r="J188" s="11" t="s">
        <v>35</v>
      </c>
    </row>
    <row r="189" spans="1:10" x14ac:dyDescent="0.35">
      <c r="A189" s="11" t="s">
        <v>537</v>
      </c>
      <c r="B189" s="11">
        <v>701364</v>
      </c>
      <c r="E189" s="11" t="s">
        <v>538</v>
      </c>
      <c r="F189" s="11" t="s">
        <v>539</v>
      </c>
      <c r="G189" s="12">
        <v>1</v>
      </c>
      <c r="H189" s="13"/>
      <c r="I189" s="14"/>
      <c r="J189" s="11" t="s">
        <v>35</v>
      </c>
    </row>
    <row r="190" spans="1:10" x14ac:dyDescent="0.35">
      <c r="A190" s="11" t="s">
        <v>540</v>
      </c>
      <c r="B190" s="11">
        <v>701365</v>
      </c>
      <c r="E190" s="11" t="s">
        <v>541</v>
      </c>
      <c r="F190" s="11" t="s">
        <v>542</v>
      </c>
      <c r="G190" s="12">
        <v>1</v>
      </c>
      <c r="H190" s="13"/>
      <c r="I190" s="14"/>
      <c r="J190" s="11" t="s">
        <v>35</v>
      </c>
    </row>
    <row r="191" spans="1:10" x14ac:dyDescent="0.35">
      <c r="A191" s="11" t="s">
        <v>543</v>
      </c>
      <c r="B191" s="11">
        <v>701366</v>
      </c>
      <c r="E191" s="11" t="s">
        <v>544</v>
      </c>
      <c r="F191" s="11" t="s">
        <v>545</v>
      </c>
      <c r="G191" s="12">
        <v>1</v>
      </c>
      <c r="H191" s="13"/>
      <c r="I191" s="14"/>
      <c r="J191" s="11" t="s">
        <v>35</v>
      </c>
    </row>
    <row r="192" spans="1:10" x14ac:dyDescent="0.35">
      <c r="A192" s="11" t="s">
        <v>546</v>
      </c>
      <c r="B192" s="11">
        <v>701367</v>
      </c>
      <c r="E192" s="11" t="s">
        <v>547</v>
      </c>
      <c r="F192" s="11" t="s">
        <v>548</v>
      </c>
      <c r="G192" s="12">
        <v>1</v>
      </c>
      <c r="H192" s="13"/>
      <c r="I192" s="14"/>
      <c r="J192" s="11" t="s">
        <v>35</v>
      </c>
    </row>
    <row r="193" spans="1:10" x14ac:dyDescent="0.35">
      <c r="A193" s="11" t="s">
        <v>549</v>
      </c>
      <c r="B193" s="11">
        <v>701368</v>
      </c>
      <c r="E193" s="11" t="s">
        <v>550</v>
      </c>
      <c r="F193" s="11" t="s">
        <v>551</v>
      </c>
      <c r="G193" s="12">
        <v>1</v>
      </c>
      <c r="H193" s="13"/>
      <c r="I193" s="14"/>
      <c r="J193" s="11" t="s">
        <v>35</v>
      </c>
    </row>
    <row r="194" spans="1:10" x14ac:dyDescent="0.35">
      <c r="A194" s="11" t="s">
        <v>552</v>
      </c>
      <c r="B194" s="11">
        <v>40764614</v>
      </c>
      <c r="E194" s="11" t="s">
        <v>553</v>
      </c>
      <c r="F194" s="11" t="s">
        <v>554</v>
      </c>
      <c r="G194" s="12"/>
      <c r="H194" s="20">
        <v>1</v>
      </c>
      <c r="I194" s="14"/>
      <c r="J194" s="11" t="s">
        <v>35</v>
      </c>
    </row>
    <row r="195" spans="1:10" x14ac:dyDescent="0.35">
      <c r="A195" s="11" t="s">
        <v>555</v>
      </c>
      <c r="B195" s="11">
        <v>40764585</v>
      </c>
      <c r="E195" s="11" t="s">
        <v>556</v>
      </c>
      <c r="F195" s="11" t="s">
        <v>557</v>
      </c>
      <c r="G195" s="12"/>
      <c r="H195" s="20">
        <v>1</v>
      </c>
      <c r="I195" s="14"/>
      <c r="J195" s="11" t="s">
        <v>35</v>
      </c>
    </row>
    <row r="196" spans="1:10" x14ac:dyDescent="0.35">
      <c r="A196" s="11" t="s">
        <v>558</v>
      </c>
      <c r="B196" s="11">
        <v>40764759</v>
      </c>
      <c r="E196" s="11" t="s">
        <v>559</v>
      </c>
      <c r="F196" s="11" t="s">
        <v>136</v>
      </c>
      <c r="G196" s="12"/>
      <c r="H196" s="20">
        <v>1</v>
      </c>
      <c r="I196" s="14"/>
      <c r="J196" s="11" t="s">
        <v>35</v>
      </c>
    </row>
    <row r="197" spans="1:10" x14ac:dyDescent="0.35">
      <c r="A197" s="11" t="s">
        <v>560</v>
      </c>
      <c r="B197" s="11">
        <v>40764778</v>
      </c>
      <c r="E197" s="11" t="s">
        <v>561</v>
      </c>
      <c r="F197" s="11" t="s">
        <v>562</v>
      </c>
      <c r="G197" s="12"/>
      <c r="H197" s="20">
        <v>1</v>
      </c>
      <c r="I197" s="14"/>
      <c r="J197" s="11" t="s">
        <v>35</v>
      </c>
    </row>
    <row r="198" spans="1:10" x14ac:dyDescent="0.35">
      <c r="A198" s="11" t="s">
        <v>563</v>
      </c>
      <c r="B198" s="11">
        <v>1988563</v>
      </c>
      <c r="E198" s="11" t="s">
        <v>564</v>
      </c>
      <c r="F198" s="11" t="s">
        <v>565</v>
      </c>
      <c r="G198" s="12"/>
      <c r="H198" s="20">
        <v>1</v>
      </c>
      <c r="I198" s="14"/>
      <c r="J198" s="11" t="s">
        <v>35</v>
      </c>
    </row>
    <row r="199" spans="1:10" x14ac:dyDescent="0.35">
      <c r="A199" s="11" t="s">
        <v>566</v>
      </c>
      <c r="B199" s="11">
        <v>1175177</v>
      </c>
      <c r="E199" s="11" t="s">
        <v>567</v>
      </c>
      <c r="F199" s="11" t="s">
        <v>568</v>
      </c>
      <c r="G199" s="12"/>
      <c r="H199" s="20">
        <v>1</v>
      </c>
      <c r="I199" s="14"/>
      <c r="J199" s="11" t="s">
        <v>35</v>
      </c>
    </row>
    <row r="200" spans="1:10" x14ac:dyDescent="0.35">
      <c r="A200" s="11" t="s">
        <v>569</v>
      </c>
      <c r="B200" s="11">
        <v>40764531</v>
      </c>
      <c r="E200" s="11" t="s">
        <v>570</v>
      </c>
      <c r="F200" s="11" t="s">
        <v>571</v>
      </c>
      <c r="G200" s="12"/>
      <c r="H200" s="20">
        <v>1</v>
      </c>
      <c r="I200" s="14"/>
      <c r="J200" s="11" t="s">
        <v>35</v>
      </c>
    </row>
    <row r="201" spans="1:10" x14ac:dyDescent="0.35">
      <c r="A201" s="11" t="s">
        <v>572</v>
      </c>
      <c r="B201" s="11">
        <v>44817151</v>
      </c>
      <c r="E201" s="11" t="s">
        <v>573</v>
      </c>
      <c r="F201" s="11" t="s">
        <v>574</v>
      </c>
      <c r="G201" s="12"/>
      <c r="H201" s="20">
        <v>1</v>
      </c>
      <c r="I201" s="14"/>
      <c r="J201" s="11" t="s">
        <v>35</v>
      </c>
    </row>
    <row r="202" spans="1:10" x14ac:dyDescent="0.35">
      <c r="A202" s="11" t="s">
        <v>575</v>
      </c>
      <c r="B202" s="11">
        <v>40764519</v>
      </c>
      <c r="E202" s="11" t="s">
        <v>576</v>
      </c>
      <c r="F202" s="11" t="s">
        <v>157</v>
      </c>
      <c r="G202" s="12"/>
      <c r="H202" s="20">
        <v>1</v>
      </c>
      <c r="I202" s="14"/>
      <c r="J202" s="11" t="s">
        <v>35</v>
      </c>
    </row>
    <row r="203" spans="1:10" x14ac:dyDescent="0.35">
      <c r="A203" s="11" t="s">
        <v>577</v>
      </c>
      <c r="B203" s="11">
        <v>40769863</v>
      </c>
      <c r="E203" s="11" t="s">
        <v>578</v>
      </c>
      <c r="F203" s="11" t="s">
        <v>579</v>
      </c>
      <c r="G203" s="12"/>
      <c r="H203" s="20">
        <v>1</v>
      </c>
      <c r="I203" s="14"/>
      <c r="J203" s="11" t="s">
        <v>35</v>
      </c>
    </row>
    <row r="204" spans="1:10" x14ac:dyDescent="0.35">
      <c r="A204" s="11" t="s">
        <v>580</v>
      </c>
      <c r="B204" s="11">
        <v>42868877</v>
      </c>
      <c r="E204" s="11" t="s">
        <v>581</v>
      </c>
      <c r="F204" s="11" t="s">
        <v>582</v>
      </c>
      <c r="G204" s="12"/>
      <c r="H204" s="20">
        <v>1</v>
      </c>
      <c r="I204" s="14"/>
      <c r="J204" s="11" t="s">
        <v>35</v>
      </c>
    </row>
    <row r="205" spans="1:10" x14ac:dyDescent="0.35">
      <c r="A205" s="11" t="s">
        <v>583</v>
      </c>
      <c r="B205" s="11">
        <v>42869031</v>
      </c>
      <c r="E205" s="21" t="s">
        <v>584</v>
      </c>
      <c r="F205" s="11" t="s">
        <v>585</v>
      </c>
      <c r="G205" s="12"/>
      <c r="H205" s="20">
        <v>1</v>
      </c>
      <c r="I205" s="14"/>
      <c r="J205" s="11" t="s">
        <v>35</v>
      </c>
    </row>
    <row r="206" spans="1:10" s="17" customFormat="1" x14ac:dyDescent="0.35">
      <c r="A206" s="17" t="s">
        <v>586</v>
      </c>
      <c r="B206" s="11" t="s">
        <v>13</v>
      </c>
      <c r="E206" s="21" t="s">
        <v>587</v>
      </c>
      <c r="F206" s="11"/>
      <c r="G206" s="12"/>
      <c r="H206" s="13"/>
      <c r="I206" s="14">
        <v>1</v>
      </c>
      <c r="J206" s="11" t="s">
        <v>35</v>
      </c>
    </row>
    <row r="207" spans="1:10" s="17" customFormat="1" x14ac:dyDescent="0.35">
      <c r="A207" s="17" t="s">
        <v>588</v>
      </c>
      <c r="B207" s="11">
        <v>42869032</v>
      </c>
      <c r="E207" s="11" t="s">
        <v>589</v>
      </c>
      <c r="F207" s="11" t="s">
        <v>590</v>
      </c>
      <c r="G207" s="12"/>
      <c r="H207" s="13">
        <v>1</v>
      </c>
      <c r="I207" s="14"/>
      <c r="J207" s="11" t="s">
        <v>35</v>
      </c>
    </row>
    <row r="208" spans="1:10" x14ac:dyDescent="0.35">
      <c r="A208" s="11" t="s">
        <v>591</v>
      </c>
      <c r="B208" s="11" t="s">
        <v>13</v>
      </c>
      <c r="E208" s="11" t="s">
        <v>592</v>
      </c>
      <c r="G208" s="12"/>
      <c r="H208" s="13">
        <v>1</v>
      </c>
      <c r="I208" s="14"/>
      <c r="J208" s="11" t="s">
        <v>35</v>
      </c>
    </row>
    <row r="209" spans="1:10" x14ac:dyDescent="0.35">
      <c r="A209" s="11" t="s">
        <v>593</v>
      </c>
      <c r="B209" s="11">
        <v>3045275</v>
      </c>
      <c r="E209" s="11" t="s">
        <v>594</v>
      </c>
      <c r="F209" s="11" t="s">
        <v>595</v>
      </c>
      <c r="G209" s="12"/>
      <c r="H209" s="13">
        <v>1</v>
      </c>
      <c r="I209" s="14"/>
      <c r="J209" s="11" t="s">
        <v>35</v>
      </c>
    </row>
    <row r="211" spans="1:10" x14ac:dyDescent="0.35">
      <c r="A211" s="7" t="s">
        <v>39</v>
      </c>
    </row>
    <row r="212" spans="1:10" x14ac:dyDescent="0.35">
      <c r="A212" s="22" t="s">
        <v>596</v>
      </c>
      <c r="B212" s="22">
        <v>46235351</v>
      </c>
      <c r="C212" s="22"/>
      <c r="D212" s="22"/>
      <c r="E212" s="21" t="s">
        <v>443</v>
      </c>
      <c r="F212" s="22" t="s">
        <v>352</v>
      </c>
      <c r="G212" s="23"/>
      <c r="H212" s="24">
        <v>1</v>
      </c>
      <c r="I212" s="14"/>
      <c r="J212" s="11" t="s">
        <v>39</v>
      </c>
    </row>
    <row r="213" spans="1:10" x14ac:dyDescent="0.35">
      <c r="A213" s="11" t="s">
        <v>597</v>
      </c>
      <c r="B213" s="11">
        <v>1242725</v>
      </c>
      <c r="D213" s="25"/>
      <c r="E213" s="11" t="s">
        <v>598</v>
      </c>
      <c r="F213" s="25" t="s">
        <v>452</v>
      </c>
      <c r="G213" s="23">
        <v>1</v>
      </c>
      <c r="H213" s="24"/>
      <c r="I213" s="14"/>
      <c r="J213" s="11" t="s">
        <v>39</v>
      </c>
    </row>
    <row r="214" spans="1:10" x14ac:dyDescent="0.35">
      <c r="A214" s="11" t="s">
        <v>599</v>
      </c>
      <c r="B214" s="11">
        <v>4273629</v>
      </c>
      <c r="D214" s="25"/>
      <c r="E214" s="11" t="s">
        <v>600</v>
      </c>
      <c r="F214" s="25" t="s">
        <v>455</v>
      </c>
      <c r="G214" s="23">
        <v>1</v>
      </c>
      <c r="H214" s="24"/>
      <c r="I214" s="14"/>
      <c r="J214" s="11" t="s">
        <v>39</v>
      </c>
    </row>
    <row r="215" spans="1:10" x14ac:dyDescent="0.35">
      <c r="A215" s="11" t="s">
        <v>601</v>
      </c>
      <c r="B215" s="11">
        <v>4295112</v>
      </c>
      <c r="D215" s="25"/>
      <c r="E215" s="11" t="s">
        <v>602</v>
      </c>
      <c r="F215" s="25" t="s">
        <v>603</v>
      </c>
      <c r="G215" s="23">
        <v>1</v>
      </c>
      <c r="H215" s="24"/>
      <c r="I215" s="14"/>
      <c r="J215" s="11" t="s">
        <v>39</v>
      </c>
    </row>
    <row r="216" spans="1:10" x14ac:dyDescent="0.35">
      <c r="A216" s="11" t="s">
        <v>604</v>
      </c>
      <c r="B216" s="11">
        <v>912065</v>
      </c>
      <c r="D216" s="25"/>
      <c r="E216" s="21" t="s">
        <v>605</v>
      </c>
      <c r="F216" s="25" t="s">
        <v>606</v>
      </c>
      <c r="G216" s="23"/>
      <c r="H216" s="24">
        <v>1</v>
      </c>
      <c r="I216" s="14"/>
      <c r="J216" s="11" t="s">
        <v>39</v>
      </c>
    </row>
    <row r="217" spans="1:10" x14ac:dyDescent="0.35">
      <c r="A217" s="11" t="s">
        <v>607</v>
      </c>
      <c r="B217" s="11">
        <v>4301352</v>
      </c>
      <c r="D217" s="25"/>
      <c r="E217" s="21" t="s">
        <v>608</v>
      </c>
      <c r="F217" s="25" t="s">
        <v>609</v>
      </c>
      <c r="G217" s="23"/>
      <c r="H217" s="24">
        <v>1</v>
      </c>
      <c r="I217" s="14"/>
      <c r="J217" s="11" t="s">
        <v>39</v>
      </c>
    </row>
    <row r="218" spans="1:10" x14ac:dyDescent="0.35">
      <c r="A218" s="11" t="s">
        <v>610</v>
      </c>
      <c r="B218" s="11">
        <v>42868913</v>
      </c>
      <c r="D218" s="25" t="s">
        <v>611</v>
      </c>
      <c r="E218" s="11" t="s">
        <v>612</v>
      </c>
      <c r="F218" s="25" t="s">
        <v>613</v>
      </c>
      <c r="G218" s="23"/>
      <c r="H218" s="24">
        <v>1</v>
      </c>
      <c r="I218" s="14"/>
      <c r="J218" s="11" t="s">
        <v>39</v>
      </c>
    </row>
    <row r="219" spans="1:10" x14ac:dyDescent="0.35">
      <c r="A219" s="11" t="s">
        <v>614</v>
      </c>
      <c r="B219" s="11">
        <v>261687</v>
      </c>
      <c r="D219" s="25" t="s">
        <v>611</v>
      </c>
      <c r="E219" s="11" t="s">
        <v>615</v>
      </c>
      <c r="F219" s="25" t="s">
        <v>616</v>
      </c>
      <c r="G219" s="23"/>
      <c r="H219" s="24">
        <v>1</v>
      </c>
      <c r="I219" s="14"/>
      <c r="J219" s="11" t="s">
        <v>39</v>
      </c>
    </row>
    <row r="220" spans="1:10" x14ac:dyDescent="0.35">
      <c r="A220" s="11" t="s">
        <v>617</v>
      </c>
      <c r="B220" s="11">
        <v>4060052</v>
      </c>
      <c r="D220" s="25" t="s">
        <v>611</v>
      </c>
      <c r="E220" s="11" t="s">
        <v>618</v>
      </c>
      <c r="F220" s="25" t="s">
        <v>619</v>
      </c>
      <c r="G220" s="23"/>
      <c r="H220" s="24">
        <v>1</v>
      </c>
      <c r="I220" s="14"/>
      <c r="J220" s="11" t="s">
        <v>39</v>
      </c>
    </row>
    <row r="221" spans="1:10" x14ac:dyDescent="0.35">
      <c r="A221" s="11" t="s">
        <v>620</v>
      </c>
      <c r="B221" s="11">
        <v>35810535</v>
      </c>
      <c r="D221" s="25" t="s">
        <v>611</v>
      </c>
      <c r="E221" s="11" t="s">
        <v>621</v>
      </c>
      <c r="F221" s="25" t="s">
        <v>622</v>
      </c>
      <c r="G221" s="23"/>
      <c r="H221" s="24">
        <v>1</v>
      </c>
      <c r="I221" s="14"/>
      <c r="J221" s="11" t="s">
        <v>39</v>
      </c>
    </row>
    <row r="222" spans="1:10" x14ac:dyDescent="0.35">
      <c r="A222" s="11" t="s">
        <v>623</v>
      </c>
      <c r="B222" s="11">
        <v>42869934</v>
      </c>
      <c r="D222" s="25" t="s">
        <v>624</v>
      </c>
      <c r="E222" s="11" t="s">
        <v>625</v>
      </c>
      <c r="F222" s="25" t="s">
        <v>626</v>
      </c>
      <c r="G222" s="23"/>
      <c r="H222" s="24">
        <v>1</v>
      </c>
      <c r="I222" s="14"/>
      <c r="J222" s="11" t="s">
        <v>39</v>
      </c>
    </row>
    <row r="223" spans="1:10" x14ac:dyDescent="0.35">
      <c r="A223" s="11" t="s">
        <v>627</v>
      </c>
      <c r="B223" s="11">
        <v>4010025</v>
      </c>
      <c r="D223" s="25" t="s">
        <v>611</v>
      </c>
      <c r="E223" s="11" t="s">
        <v>628</v>
      </c>
      <c r="F223" s="25" t="s">
        <v>629</v>
      </c>
      <c r="G223" s="23"/>
      <c r="H223" s="24">
        <v>1</v>
      </c>
      <c r="I223" s="14"/>
      <c r="J223" s="11" t="s">
        <v>39</v>
      </c>
    </row>
    <row r="224" spans="1:10" x14ac:dyDescent="0.35">
      <c r="A224" s="11" t="s">
        <v>630</v>
      </c>
      <c r="B224" s="11">
        <v>4125274</v>
      </c>
      <c r="D224" s="25" t="s">
        <v>611</v>
      </c>
      <c r="E224" s="11" t="s">
        <v>631</v>
      </c>
      <c r="F224" s="25" t="s">
        <v>632</v>
      </c>
      <c r="G224" s="23"/>
      <c r="H224" s="24">
        <v>1</v>
      </c>
      <c r="I224" s="14"/>
      <c r="J224" s="11" t="s">
        <v>39</v>
      </c>
    </row>
    <row r="225" spans="1:10" x14ac:dyDescent="0.35">
      <c r="A225" s="11" t="s">
        <v>633</v>
      </c>
      <c r="B225" s="11">
        <v>42869095</v>
      </c>
      <c r="D225" s="25" t="s">
        <v>634</v>
      </c>
      <c r="E225" s="11" t="s">
        <v>635</v>
      </c>
      <c r="F225" s="25" t="s">
        <v>636</v>
      </c>
      <c r="G225" s="23"/>
      <c r="H225" s="24">
        <v>1</v>
      </c>
      <c r="I225" s="14"/>
      <c r="J225" s="11" t="s">
        <v>39</v>
      </c>
    </row>
    <row r="226" spans="1:10" x14ac:dyDescent="0.35">
      <c r="A226" s="11" t="s">
        <v>637</v>
      </c>
      <c r="B226" s="11">
        <v>4175525</v>
      </c>
      <c r="D226" s="25" t="s">
        <v>611</v>
      </c>
      <c r="E226" s="11" t="s">
        <v>638</v>
      </c>
      <c r="F226" s="25" t="s">
        <v>639</v>
      </c>
      <c r="G226" s="23"/>
      <c r="H226" s="24">
        <v>1</v>
      </c>
      <c r="I226" s="14"/>
      <c r="J226" s="11" t="s">
        <v>39</v>
      </c>
    </row>
    <row r="227" spans="1:10" x14ac:dyDescent="0.35">
      <c r="A227" s="11" t="s">
        <v>640</v>
      </c>
      <c r="B227" s="11">
        <v>40761360</v>
      </c>
      <c r="D227" s="25" t="s">
        <v>611</v>
      </c>
      <c r="E227" s="11" t="s">
        <v>641</v>
      </c>
      <c r="F227" s="25" t="s">
        <v>642</v>
      </c>
      <c r="G227" s="23"/>
      <c r="H227" s="24">
        <v>1</v>
      </c>
      <c r="I227" s="14"/>
      <c r="J227" s="11" t="s">
        <v>39</v>
      </c>
    </row>
    <row r="228" spans="1:10" x14ac:dyDescent="0.35">
      <c r="A228" s="11" t="s">
        <v>643</v>
      </c>
      <c r="B228" s="11">
        <v>4009890</v>
      </c>
      <c r="D228" s="25" t="s">
        <v>611</v>
      </c>
      <c r="E228" s="11" t="s">
        <v>644</v>
      </c>
      <c r="F228" s="25" t="s">
        <v>645</v>
      </c>
      <c r="G228" s="23"/>
      <c r="H228" s="24">
        <v>1</v>
      </c>
      <c r="I228" s="14"/>
      <c r="J228" s="11" t="s">
        <v>39</v>
      </c>
    </row>
    <row r="229" spans="1:10" x14ac:dyDescent="0.35">
      <c r="A229" s="11" t="s">
        <v>646</v>
      </c>
      <c r="B229" s="11">
        <v>4329041</v>
      </c>
      <c r="D229" s="25" t="s">
        <v>611</v>
      </c>
      <c r="E229" s="11" t="s">
        <v>647</v>
      </c>
      <c r="F229" s="25" t="s">
        <v>648</v>
      </c>
      <c r="G229" s="23"/>
      <c r="H229" s="24">
        <v>1</v>
      </c>
      <c r="I229" s="14"/>
      <c r="J229" s="11" t="s">
        <v>39</v>
      </c>
    </row>
    <row r="230" spans="1:10" x14ac:dyDescent="0.35">
      <c r="A230" s="11" t="s">
        <v>649</v>
      </c>
      <c r="B230" s="11">
        <v>4200997</v>
      </c>
      <c r="D230" s="25" t="s">
        <v>611</v>
      </c>
      <c r="E230" s="11" t="s">
        <v>650</v>
      </c>
      <c r="F230" s="25" t="s">
        <v>651</v>
      </c>
      <c r="G230" s="23"/>
      <c r="H230" s="24">
        <v>1</v>
      </c>
      <c r="I230" s="14"/>
      <c r="J230" s="11" t="s">
        <v>39</v>
      </c>
    </row>
    <row r="231" spans="1:10" x14ac:dyDescent="0.35">
      <c r="A231" s="11" t="s">
        <v>462</v>
      </c>
      <c r="B231" s="11">
        <v>701340</v>
      </c>
      <c r="D231" s="25"/>
      <c r="E231" s="11" t="s">
        <v>463</v>
      </c>
      <c r="F231" s="25" t="s">
        <v>464</v>
      </c>
      <c r="G231" s="23">
        <v>1</v>
      </c>
      <c r="H231" s="24"/>
      <c r="I231" s="14"/>
      <c r="J231" s="11" t="s">
        <v>39</v>
      </c>
    </row>
    <row r="232" spans="1:10" x14ac:dyDescent="0.35">
      <c r="A232" s="11" t="s">
        <v>465</v>
      </c>
      <c r="B232" s="11">
        <v>701341</v>
      </c>
      <c r="D232" s="25"/>
      <c r="E232" s="11" t="s">
        <v>466</v>
      </c>
      <c r="F232" s="25" t="s">
        <v>467</v>
      </c>
      <c r="G232" s="23">
        <v>1</v>
      </c>
      <c r="H232" s="24"/>
      <c r="I232" s="14"/>
      <c r="J232" s="11" t="s">
        <v>39</v>
      </c>
    </row>
    <row r="233" spans="1:10" x14ac:dyDescent="0.35">
      <c r="A233" s="11" t="s">
        <v>468</v>
      </c>
      <c r="B233" s="11">
        <v>701342</v>
      </c>
      <c r="D233" s="25"/>
      <c r="E233" s="11" t="s">
        <v>469</v>
      </c>
      <c r="F233" s="25" t="s">
        <v>470</v>
      </c>
      <c r="G233" s="23">
        <v>1</v>
      </c>
      <c r="H233" s="24"/>
      <c r="I233" s="14"/>
      <c r="J233" s="11" t="s">
        <v>39</v>
      </c>
    </row>
    <row r="234" spans="1:10" x14ac:dyDescent="0.35">
      <c r="A234" s="11" t="s">
        <v>471</v>
      </c>
      <c r="B234" s="11">
        <v>701343</v>
      </c>
      <c r="D234" s="25"/>
      <c r="E234" s="11" t="s">
        <v>472</v>
      </c>
      <c r="F234" s="25" t="s">
        <v>473</v>
      </c>
      <c r="G234" s="23">
        <v>1</v>
      </c>
      <c r="H234" s="24"/>
      <c r="I234" s="14"/>
      <c r="J234" s="11" t="s">
        <v>39</v>
      </c>
    </row>
    <row r="235" spans="1:10" x14ac:dyDescent="0.35">
      <c r="A235" s="11" t="s">
        <v>474</v>
      </c>
      <c r="B235" s="11">
        <v>701344</v>
      </c>
      <c r="D235" s="25"/>
      <c r="E235" s="11" t="s">
        <v>475</v>
      </c>
      <c r="F235" s="25" t="s">
        <v>476</v>
      </c>
      <c r="G235" s="23">
        <v>1</v>
      </c>
      <c r="H235" s="24"/>
      <c r="I235" s="14"/>
      <c r="J235" s="11" t="s">
        <v>39</v>
      </c>
    </row>
    <row r="236" spans="1:10" x14ac:dyDescent="0.35">
      <c r="A236" s="11" t="s">
        <v>477</v>
      </c>
      <c r="B236" s="11">
        <v>701345</v>
      </c>
      <c r="D236" s="25"/>
      <c r="E236" s="11" t="s">
        <v>478</v>
      </c>
      <c r="F236" s="25" t="s">
        <v>479</v>
      </c>
      <c r="G236" s="23">
        <v>1</v>
      </c>
      <c r="H236" s="24"/>
      <c r="I236" s="14"/>
      <c r="J236" s="11" t="s">
        <v>39</v>
      </c>
    </row>
    <row r="237" spans="1:10" x14ac:dyDescent="0.35">
      <c r="A237" s="11" t="s">
        <v>480</v>
      </c>
      <c r="B237" s="11">
        <v>701346</v>
      </c>
      <c r="D237" s="25"/>
      <c r="E237" s="11" t="s">
        <v>481</v>
      </c>
      <c r="F237" s="25" t="s">
        <v>482</v>
      </c>
      <c r="G237" s="23">
        <v>1</v>
      </c>
      <c r="H237" s="24"/>
      <c r="I237" s="14"/>
      <c r="J237" s="11" t="s">
        <v>39</v>
      </c>
    </row>
    <row r="238" spans="1:10" x14ac:dyDescent="0.35">
      <c r="A238" s="11" t="s">
        <v>483</v>
      </c>
      <c r="B238" s="11">
        <v>701347</v>
      </c>
      <c r="D238" s="25"/>
      <c r="E238" s="11" t="s">
        <v>484</v>
      </c>
      <c r="F238" s="25" t="s">
        <v>485</v>
      </c>
      <c r="G238" s="23">
        <v>1</v>
      </c>
      <c r="H238" s="24"/>
      <c r="I238" s="14"/>
      <c r="J238" s="11" t="s">
        <v>39</v>
      </c>
    </row>
    <row r="239" spans="1:10" x14ac:dyDescent="0.35">
      <c r="A239" s="11" t="s">
        <v>486</v>
      </c>
      <c r="B239" s="11">
        <v>701348</v>
      </c>
      <c r="D239" s="25"/>
      <c r="E239" s="11" t="s">
        <v>487</v>
      </c>
      <c r="F239" s="25" t="s">
        <v>488</v>
      </c>
      <c r="G239" s="23">
        <v>1</v>
      </c>
      <c r="H239" s="24"/>
      <c r="I239" s="14"/>
      <c r="J239" s="11" t="s">
        <v>39</v>
      </c>
    </row>
    <row r="240" spans="1:10" x14ac:dyDescent="0.35">
      <c r="A240" s="11" t="s">
        <v>489</v>
      </c>
      <c r="B240" s="11">
        <v>701349</v>
      </c>
      <c r="D240" s="25"/>
      <c r="E240" s="11" t="s">
        <v>490</v>
      </c>
      <c r="F240" s="25" t="s">
        <v>491</v>
      </c>
      <c r="G240" s="23">
        <v>1</v>
      </c>
      <c r="H240" s="24"/>
      <c r="I240" s="14"/>
      <c r="J240" s="11" t="s">
        <v>39</v>
      </c>
    </row>
    <row r="241" spans="1:10" x14ac:dyDescent="0.35">
      <c r="A241" s="11" t="s">
        <v>492</v>
      </c>
      <c r="B241" s="11">
        <v>701350</v>
      </c>
      <c r="D241" s="25"/>
      <c r="E241" s="11" t="s">
        <v>493</v>
      </c>
      <c r="F241" s="25" t="s">
        <v>494</v>
      </c>
      <c r="G241" s="23">
        <v>1</v>
      </c>
      <c r="H241" s="24"/>
      <c r="I241" s="14"/>
      <c r="J241" s="11" t="s">
        <v>39</v>
      </c>
    </row>
    <row r="242" spans="1:10" x14ac:dyDescent="0.35">
      <c r="A242" s="11" t="s">
        <v>495</v>
      </c>
      <c r="B242" s="11">
        <v>701332</v>
      </c>
      <c r="D242" s="25"/>
      <c r="E242" s="11" t="s">
        <v>496</v>
      </c>
      <c r="F242" s="25" t="s">
        <v>497</v>
      </c>
      <c r="G242" s="23">
        <v>1</v>
      </c>
      <c r="H242" s="24"/>
      <c r="I242" s="14"/>
      <c r="J242" s="11" t="s">
        <v>39</v>
      </c>
    </row>
    <row r="243" spans="1:10" x14ac:dyDescent="0.35">
      <c r="A243" s="11" t="s">
        <v>498</v>
      </c>
      <c r="B243" s="11">
        <v>701351</v>
      </c>
      <c r="D243" s="25"/>
      <c r="E243" s="11" t="s">
        <v>499</v>
      </c>
      <c r="F243" s="25" t="s">
        <v>500</v>
      </c>
      <c r="G243" s="23">
        <v>1</v>
      </c>
      <c r="H243" s="24"/>
      <c r="I243" s="14"/>
      <c r="J243" s="11" t="s">
        <v>39</v>
      </c>
    </row>
    <row r="244" spans="1:10" x14ac:dyDescent="0.35">
      <c r="A244" s="11" t="s">
        <v>501</v>
      </c>
      <c r="B244" s="11">
        <v>701352</v>
      </c>
      <c r="D244" s="25"/>
      <c r="E244" s="11" t="s">
        <v>502</v>
      </c>
      <c r="F244" s="25" t="s">
        <v>503</v>
      </c>
      <c r="G244" s="23">
        <v>1</v>
      </c>
      <c r="H244" s="24"/>
      <c r="I244" s="14"/>
      <c r="J244" s="11" t="s">
        <v>39</v>
      </c>
    </row>
    <row r="245" spans="1:10" x14ac:dyDescent="0.35">
      <c r="A245" s="11" t="s">
        <v>504</v>
      </c>
      <c r="B245" s="11">
        <v>701353</v>
      </c>
      <c r="D245" s="25"/>
      <c r="E245" s="11" t="s">
        <v>505</v>
      </c>
      <c r="F245" s="25" t="s">
        <v>506</v>
      </c>
      <c r="G245" s="23">
        <v>1</v>
      </c>
      <c r="H245" s="24"/>
      <c r="I245" s="14"/>
      <c r="J245" s="11" t="s">
        <v>39</v>
      </c>
    </row>
    <row r="246" spans="1:10" x14ac:dyDescent="0.35">
      <c r="A246" s="11" t="s">
        <v>507</v>
      </c>
      <c r="B246" s="11">
        <v>701354</v>
      </c>
      <c r="D246" s="25"/>
      <c r="E246" s="11" t="s">
        <v>508</v>
      </c>
      <c r="F246" s="25" t="s">
        <v>509</v>
      </c>
      <c r="G246" s="23">
        <v>1</v>
      </c>
      <c r="H246" s="24"/>
      <c r="I246" s="14"/>
      <c r="J246" s="11" t="s">
        <v>39</v>
      </c>
    </row>
    <row r="247" spans="1:10" x14ac:dyDescent="0.35">
      <c r="A247" s="11" t="s">
        <v>510</v>
      </c>
      <c r="B247" s="11">
        <v>701355</v>
      </c>
      <c r="D247" s="25"/>
      <c r="E247" s="11" t="s">
        <v>511</v>
      </c>
      <c r="F247" s="25" t="s">
        <v>512</v>
      </c>
      <c r="G247" s="23">
        <v>1</v>
      </c>
      <c r="H247" s="24"/>
      <c r="I247" s="14"/>
      <c r="J247" s="11" t="s">
        <v>39</v>
      </c>
    </row>
    <row r="248" spans="1:10" x14ac:dyDescent="0.35">
      <c r="A248" s="11" t="s">
        <v>513</v>
      </c>
      <c r="B248" s="11">
        <v>701356</v>
      </c>
      <c r="D248" s="25"/>
      <c r="E248" s="11" t="s">
        <v>514</v>
      </c>
      <c r="F248" s="25" t="s">
        <v>515</v>
      </c>
      <c r="G248" s="23">
        <v>1</v>
      </c>
      <c r="H248" s="24"/>
      <c r="I248" s="14"/>
      <c r="J248" s="11" t="s">
        <v>39</v>
      </c>
    </row>
    <row r="249" spans="1:10" x14ac:dyDescent="0.35">
      <c r="A249" s="11" t="s">
        <v>516</v>
      </c>
      <c r="B249" s="11">
        <v>701357</v>
      </c>
      <c r="D249" s="25"/>
      <c r="E249" s="11" t="s">
        <v>517</v>
      </c>
      <c r="F249" s="25" t="s">
        <v>518</v>
      </c>
      <c r="G249" s="23">
        <v>1</v>
      </c>
      <c r="H249" s="24"/>
      <c r="I249" s="14"/>
      <c r="J249" s="11" t="s">
        <v>39</v>
      </c>
    </row>
    <row r="250" spans="1:10" x14ac:dyDescent="0.35">
      <c r="A250" s="11" t="s">
        <v>519</v>
      </c>
      <c r="B250" s="11">
        <v>701358</v>
      </c>
      <c r="D250" s="25"/>
      <c r="E250" s="11" t="s">
        <v>520</v>
      </c>
      <c r="F250" s="25" t="s">
        <v>521</v>
      </c>
      <c r="G250" s="23">
        <v>1</v>
      </c>
      <c r="H250" s="24"/>
      <c r="I250" s="14"/>
      <c r="J250" s="11" t="s">
        <v>39</v>
      </c>
    </row>
    <row r="251" spans="1:10" x14ac:dyDescent="0.35">
      <c r="A251" s="11" t="s">
        <v>522</v>
      </c>
      <c r="B251" s="11">
        <v>701359</v>
      </c>
      <c r="D251" s="25"/>
      <c r="E251" s="11" t="s">
        <v>523</v>
      </c>
      <c r="F251" s="25" t="s">
        <v>524</v>
      </c>
      <c r="G251" s="23">
        <v>1</v>
      </c>
      <c r="H251" s="24"/>
      <c r="I251" s="14"/>
      <c r="J251" s="11" t="s">
        <v>39</v>
      </c>
    </row>
    <row r="252" spans="1:10" x14ac:dyDescent="0.35">
      <c r="A252" s="11" t="s">
        <v>525</v>
      </c>
      <c r="B252" s="11">
        <v>701360</v>
      </c>
      <c r="D252" s="25"/>
      <c r="E252" s="11" t="s">
        <v>526</v>
      </c>
      <c r="F252" s="25" t="s">
        <v>527</v>
      </c>
      <c r="G252" s="23">
        <v>1</v>
      </c>
      <c r="H252" s="24"/>
      <c r="I252" s="14"/>
      <c r="J252" s="11" t="s">
        <v>39</v>
      </c>
    </row>
    <row r="253" spans="1:10" x14ac:dyDescent="0.35">
      <c r="A253" s="11" t="s">
        <v>528</v>
      </c>
      <c r="B253" s="11">
        <v>701361</v>
      </c>
      <c r="D253" s="25"/>
      <c r="E253" s="11" t="s">
        <v>529</v>
      </c>
      <c r="F253" s="25" t="s">
        <v>530</v>
      </c>
      <c r="G253" s="23">
        <v>1</v>
      </c>
      <c r="H253" s="24"/>
      <c r="I253" s="14"/>
      <c r="J253" s="11" t="s">
        <v>39</v>
      </c>
    </row>
    <row r="254" spans="1:10" x14ac:dyDescent="0.35">
      <c r="A254" s="11" t="s">
        <v>531</v>
      </c>
      <c r="B254" s="11">
        <v>701362</v>
      </c>
      <c r="D254" s="25"/>
      <c r="E254" s="11" t="s">
        <v>532</v>
      </c>
      <c r="F254" s="25" t="s">
        <v>533</v>
      </c>
      <c r="G254" s="23">
        <v>1</v>
      </c>
      <c r="H254" s="24"/>
      <c r="I254" s="14"/>
      <c r="J254" s="11" t="s">
        <v>39</v>
      </c>
    </row>
    <row r="255" spans="1:10" x14ac:dyDescent="0.35">
      <c r="A255" s="11" t="s">
        <v>534</v>
      </c>
      <c r="B255" s="11">
        <v>701363</v>
      </c>
      <c r="D255" s="25"/>
      <c r="E255" s="11" t="s">
        <v>535</v>
      </c>
      <c r="F255" s="25" t="s">
        <v>536</v>
      </c>
      <c r="G255" s="23">
        <v>1</v>
      </c>
      <c r="H255" s="24"/>
      <c r="I255" s="14"/>
      <c r="J255" s="11" t="s">
        <v>39</v>
      </c>
    </row>
    <row r="256" spans="1:10" x14ac:dyDescent="0.35">
      <c r="A256" s="11" t="s">
        <v>537</v>
      </c>
      <c r="B256" s="11">
        <v>701364</v>
      </c>
      <c r="D256" s="25"/>
      <c r="E256" s="11" t="s">
        <v>538</v>
      </c>
      <c r="F256" s="25" t="s">
        <v>539</v>
      </c>
      <c r="G256" s="23">
        <v>1</v>
      </c>
      <c r="H256" s="24"/>
      <c r="I256" s="14"/>
      <c r="J256" s="11" t="s">
        <v>39</v>
      </c>
    </row>
    <row r="257" spans="1:10" x14ac:dyDescent="0.35">
      <c r="A257" s="11" t="s">
        <v>540</v>
      </c>
      <c r="B257" s="11">
        <v>701365</v>
      </c>
      <c r="D257" s="25"/>
      <c r="E257" s="11" t="s">
        <v>541</v>
      </c>
      <c r="F257" s="25" t="s">
        <v>542</v>
      </c>
      <c r="G257" s="23">
        <v>1</v>
      </c>
      <c r="H257" s="24"/>
      <c r="I257" s="14"/>
      <c r="J257" s="11" t="s">
        <v>39</v>
      </c>
    </row>
    <row r="258" spans="1:10" x14ac:dyDescent="0.35">
      <c r="A258" s="11" t="s">
        <v>543</v>
      </c>
      <c r="B258" s="11">
        <v>701366</v>
      </c>
      <c r="D258" s="25"/>
      <c r="E258" s="11" t="s">
        <v>544</v>
      </c>
      <c r="F258" s="25" t="s">
        <v>545</v>
      </c>
      <c r="G258" s="23">
        <v>1</v>
      </c>
      <c r="H258" s="24"/>
      <c r="I258" s="14"/>
      <c r="J258" s="11" t="s">
        <v>39</v>
      </c>
    </row>
    <row r="259" spans="1:10" x14ac:dyDescent="0.35">
      <c r="A259" s="11" t="s">
        <v>546</v>
      </c>
      <c r="B259" s="11">
        <v>701367</v>
      </c>
      <c r="D259" s="25"/>
      <c r="E259" s="11" t="s">
        <v>547</v>
      </c>
      <c r="F259" s="25" t="s">
        <v>548</v>
      </c>
      <c r="G259" s="23">
        <v>1</v>
      </c>
      <c r="H259" s="24"/>
      <c r="I259" s="14"/>
      <c r="J259" s="11" t="s">
        <v>39</v>
      </c>
    </row>
    <row r="260" spans="1:10" x14ac:dyDescent="0.35">
      <c r="A260" s="11" t="s">
        <v>549</v>
      </c>
      <c r="B260" s="11">
        <v>701368</v>
      </c>
      <c r="D260" s="25"/>
      <c r="E260" s="11" t="s">
        <v>550</v>
      </c>
      <c r="F260" s="25" t="s">
        <v>551</v>
      </c>
      <c r="G260" s="23">
        <v>1</v>
      </c>
      <c r="H260" s="24"/>
      <c r="I260" s="14"/>
      <c r="J260" s="11" t="s">
        <v>39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9C984-FDD1-4890-A398-6F1200E54D08}">
  <dimension ref="A1:Q337"/>
  <sheetViews>
    <sheetView tabSelected="1" topLeftCell="F1" zoomScale="53" zoomScaleNormal="220" workbookViewId="0">
      <selection activeCell="S6" sqref="S6"/>
    </sheetView>
  </sheetViews>
  <sheetFormatPr defaultColWidth="8.7265625" defaultRowHeight="14.5" x14ac:dyDescent="0.35"/>
  <cols>
    <col min="1" max="1" width="28.26953125" style="5" customWidth="1"/>
    <col min="2" max="2" width="25.81640625" style="5" customWidth="1"/>
    <col min="3" max="3" width="38.1796875" style="5" customWidth="1"/>
    <col min="4" max="4" width="34.81640625" style="5" customWidth="1"/>
    <col min="5" max="5" width="16.1796875" style="5" bestFit="1" customWidth="1"/>
    <col min="6" max="6" width="88.7265625" style="5" customWidth="1"/>
    <col min="7" max="7" width="87.453125" style="5" bestFit="1" customWidth="1"/>
    <col min="8" max="8" width="23.1796875" style="5" bestFit="1" customWidth="1"/>
    <col min="9" max="9" width="8.26953125" style="5" bestFit="1" customWidth="1"/>
    <col min="10" max="10" width="12.26953125" style="5" bestFit="1" customWidth="1"/>
    <col min="11" max="11" width="11.81640625" style="5" bestFit="1" customWidth="1"/>
    <col min="12" max="12" width="8.7265625" style="5"/>
    <col min="13" max="13" width="12.7265625" style="5" customWidth="1"/>
    <col min="14" max="16384" width="8.7265625" style="5"/>
  </cols>
  <sheetData>
    <row r="1" spans="1:17" s="1" customFormat="1" x14ac:dyDescent="0.35">
      <c r="A1" s="1" t="s">
        <v>652</v>
      </c>
      <c r="B1" s="1" t="s">
        <v>653</v>
      </c>
      <c r="C1" s="1" t="s">
        <v>654</v>
      </c>
      <c r="D1" s="1" t="s">
        <v>655</v>
      </c>
      <c r="E1" s="1" t="s">
        <v>1071</v>
      </c>
      <c r="F1" s="1" t="s">
        <v>656</v>
      </c>
      <c r="G1" s="1" t="s">
        <v>5</v>
      </c>
      <c r="H1" s="1" t="s">
        <v>1</v>
      </c>
      <c r="I1" s="2" t="s">
        <v>6</v>
      </c>
      <c r="J1" s="3" t="s">
        <v>7</v>
      </c>
      <c r="K1" s="4" t="s">
        <v>8</v>
      </c>
    </row>
    <row r="2" spans="1:17" x14ac:dyDescent="0.35">
      <c r="A2" s="5" t="s">
        <v>41</v>
      </c>
      <c r="B2" s="5" t="s">
        <v>657</v>
      </c>
      <c r="C2" s="5" t="s">
        <v>658</v>
      </c>
      <c r="D2" s="5" t="s">
        <v>659</v>
      </c>
      <c r="G2"/>
      <c r="I2" s="27"/>
      <c r="J2" s="28"/>
      <c r="K2" s="29"/>
      <c r="M2" s="1" t="s">
        <v>11</v>
      </c>
      <c r="N2" s="2" t="s">
        <v>6</v>
      </c>
      <c r="O2" s="3" t="s">
        <v>7</v>
      </c>
      <c r="P2" s="4" t="s">
        <v>8</v>
      </c>
      <c r="Q2" s="1" t="s">
        <v>16</v>
      </c>
    </row>
    <row r="3" spans="1:17" x14ac:dyDescent="0.35">
      <c r="F3" s="5" t="s">
        <v>660</v>
      </c>
      <c r="G3" t="s">
        <v>660</v>
      </c>
      <c r="H3" s="5">
        <v>45877994</v>
      </c>
      <c r="I3" s="27">
        <v>1</v>
      </c>
      <c r="J3" s="28"/>
      <c r="K3" s="29"/>
      <c r="M3" s="5" t="s">
        <v>1371</v>
      </c>
      <c r="N3" s="27">
        <f>SUM(I2:I109)</f>
        <v>73</v>
      </c>
      <c r="O3" s="28">
        <f>SUM(J2:J109)</f>
        <v>20</v>
      </c>
      <c r="P3" s="29">
        <f>SUM(K2:K109)</f>
        <v>0</v>
      </c>
      <c r="Q3" s="1">
        <f t="shared" ref="Q3:Q9" si="0">SUM(N3:P3)</f>
        <v>93</v>
      </c>
    </row>
    <row r="4" spans="1:17" x14ac:dyDescent="0.35">
      <c r="F4" s="5" t="s">
        <v>661</v>
      </c>
      <c r="G4" t="s">
        <v>661</v>
      </c>
      <c r="H4" s="5">
        <v>45878245</v>
      </c>
      <c r="I4" s="27">
        <v>1</v>
      </c>
      <c r="J4" s="28"/>
      <c r="K4" s="29"/>
      <c r="M4" s="5" t="s">
        <v>21</v>
      </c>
      <c r="N4" s="27">
        <f>SUM(I111:I180)</f>
        <v>55</v>
      </c>
      <c r="O4" s="28">
        <f>SUM(J111:J180)</f>
        <v>2</v>
      </c>
      <c r="P4" s="29">
        <f>SUM(K111:K180)</f>
        <v>0</v>
      </c>
      <c r="Q4" s="1">
        <f t="shared" si="0"/>
        <v>57</v>
      </c>
    </row>
    <row r="5" spans="1:17" x14ac:dyDescent="0.35">
      <c r="A5" s="5" t="s">
        <v>662</v>
      </c>
      <c r="B5" s="5" t="s">
        <v>663</v>
      </c>
      <c r="C5" s="5" t="s">
        <v>664</v>
      </c>
      <c r="D5" s="5" t="s">
        <v>665</v>
      </c>
      <c r="G5"/>
      <c r="M5" s="5" t="s">
        <v>26</v>
      </c>
      <c r="N5" s="27">
        <f>SUM(I182:I221)</f>
        <v>16</v>
      </c>
      <c r="O5" s="28">
        <f>SUM(J182:J221)</f>
        <v>17</v>
      </c>
      <c r="P5" s="29">
        <f>SUM(K182:K221)</f>
        <v>0</v>
      </c>
      <c r="Q5" s="1">
        <f t="shared" si="0"/>
        <v>33</v>
      </c>
    </row>
    <row r="6" spans="1:17" x14ac:dyDescent="0.35">
      <c r="F6" s="5" t="s">
        <v>666</v>
      </c>
      <c r="G6" t="s">
        <v>1192</v>
      </c>
      <c r="H6" s="5">
        <v>608383</v>
      </c>
      <c r="I6" s="27"/>
      <c r="J6" s="28">
        <v>1</v>
      </c>
      <c r="K6" s="29"/>
      <c r="M6" s="5" t="s">
        <v>31</v>
      </c>
      <c r="N6" s="27">
        <f>SUM(I223:I286)</f>
        <v>17</v>
      </c>
      <c r="O6" s="28">
        <f>SUM(J223:J286)</f>
        <v>23</v>
      </c>
      <c r="P6" s="29">
        <f>SUM(K223:K286)</f>
        <v>2</v>
      </c>
      <c r="Q6" s="1">
        <f t="shared" si="0"/>
        <v>42</v>
      </c>
    </row>
    <row r="7" spans="1:17" x14ac:dyDescent="0.35">
      <c r="F7" s="5">
        <v>1</v>
      </c>
      <c r="G7" t="s">
        <v>1193</v>
      </c>
      <c r="H7" s="5">
        <v>608384</v>
      </c>
      <c r="I7" s="27"/>
      <c r="J7" s="28">
        <v>1</v>
      </c>
      <c r="K7" s="29"/>
      <c r="M7" s="5" t="s">
        <v>35</v>
      </c>
      <c r="N7" s="27">
        <f>SUM(I288:I306)</f>
        <v>4</v>
      </c>
      <c r="O7" s="28">
        <f>SUM(J288:J306)</f>
        <v>4</v>
      </c>
      <c r="P7" s="29">
        <f>SUM(K288:K306)</f>
        <v>3</v>
      </c>
      <c r="Q7" s="1">
        <f t="shared" si="0"/>
        <v>11</v>
      </c>
    </row>
    <row r="8" spans="1:17" x14ac:dyDescent="0.35">
      <c r="F8" s="5">
        <v>2</v>
      </c>
      <c r="G8" t="s">
        <v>1194</v>
      </c>
      <c r="H8" s="5">
        <v>608385</v>
      </c>
      <c r="I8" s="27"/>
      <c r="J8" s="28">
        <v>1</v>
      </c>
      <c r="K8" s="29"/>
      <c r="M8" s="5" t="s">
        <v>39</v>
      </c>
      <c r="N8" s="27">
        <f>SUM(I308:I338)</f>
        <v>12</v>
      </c>
      <c r="O8" s="28">
        <f>SUM(J308:J338)</f>
        <v>6</v>
      </c>
      <c r="P8" s="29">
        <f>SUM(K308:K338)</f>
        <v>5</v>
      </c>
      <c r="Q8" s="1">
        <f t="shared" si="0"/>
        <v>23</v>
      </c>
    </row>
    <row r="9" spans="1:17" x14ac:dyDescent="0.35">
      <c r="F9" s="5">
        <v>3</v>
      </c>
      <c r="G9" t="s">
        <v>1195</v>
      </c>
      <c r="H9" s="5">
        <v>608386</v>
      </c>
      <c r="I9" s="27"/>
      <c r="J9" s="28">
        <v>1</v>
      </c>
      <c r="K9" s="29"/>
      <c r="M9" s="1" t="s">
        <v>16</v>
      </c>
      <c r="N9" s="2">
        <f>SUM(N3:N8)</f>
        <v>177</v>
      </c>
      <c r="O9" s="3">
        <f>SUM(O3:O8)</f>
        <v>72</v>
      </c>
      <c r="P9" s="4">
        <f>SUM(P3:P8)</f>
        <v>10</v>
      </c>
      <c r="Q9" s="1">
        <f t="shared" si="0"/>
        <v>259</v>
      </c>
    </row>
    <row r="10" spans="1:17" x14ac:dyDescent="0.35">
      <c r="F10" s="5">
        <v>4</v>
      </c>
      <c r="G10" t="s">
        <v>1196</v>
      </c>
      <c r="H10" s="5">
        <v>608387</v>
      </c>
      <c r="I10" s="27"/>
      <c r="J10" s="28">
        <v>1</v>
      </c>
      <c r="K10" s="29"/>
    </row>
    <row r="11" spans="1:17" x14ac:dyDescent="0.35">
      <c r="F11" s="5">
        <v>5</v>
      </c>
      <c r="G11" t="s">
        <v>1197</v>
      </c>
      <c r="H11" s="5">
        <v>608388</v>
      </c>
      <c r="I11" s="27"/>
      <c r="J11" s="28">
        <v>1</v>
      </c>
      <c r="K11" s="29"/>
    </row>
    <row r="12" spans="1:17" x14ac:dyDescent="0.35">
      <c r="F12" s="5">
        <v>6</v>
      </c>
      <c r="G12" t="s">
        <v>1198</v>
      </c>
      <c r="H12" s="5">
        <v>608389</v>
      </c>
      <c r="I12" s="27"/>
      <c r="J12" s="28">
        <v>1</v>
      </c>
      <c r="K12" s="29"/>
    </row>
    <row r="13" spans="1:17" x14ac:dyDescent="0.35">
      <c r="F13" s="5">
        <v>7</v>
      </c>
      <c r="G13" t="s">
        <v>1199</v>
      </c>
      <c r="H13" s="5">
        <v>608390</v>
      </c>
      <c r="I13" s="27"/>
      <c r="J13" s="28">
        <v>1</v>
      </c>
      <c r="K13" s="29"/>
    </row>
    <row r="14" spans="1:17" x14ac:dyDescent="0.35">
      <c r="F14" s="5">
        <v>8</v>
      </c>
      <c r="G14" t="s">
        <v>1200</v>
      </c>
      <c r="H14" s="5">
        <v>608391</v>
      </c>
      <c r="I14" s="27"/>
      <c r="J14" s="28">
        <v>1</v>
      </c>
      <c r="K14" s="29"/>
    </row>
    <row r="15" spans="1:17" x14ac:dyDescent="0.35">
      <c r="F15" s="5">
        <v>9</v>
      </c>
      <c r="G15" t="s">
        <v>1201</v>
      </c>
      <c r="H15" s="5">
        <v>608392</v>
      </c>
      <c r="I15" s="27"/>
      <c r="J15" s="28">
        <v>1</v>
      </c>
      <c r="K15" s="29"/>
    </row>
    <row r="16" spans="1:17" x14ac:dyDescent="0.35">
      <c r="F16" s="5" t="s">
        <v>667</v>
      </c>
      <c r="G16" t="s">
        <v>1202</v>
      </c>
      <c r="H16" s="5">
        <v>600712</v>
      </c>
      <c r="I16" s="27"/>
      <c r="J16" s="28">
        <v>1</v>
      </c>
      <c r="K16" s="29"/>
    </row>
    <row r="17" spans="1:11" x14ac:dyDescent="0.35">
      <c r="A17" s="5" t="s">
        <v>668</v>
      </c>
      <c r="B17" s="5" t="s">
        <v>669</v>
      </c>
      <c r="C17" s="5" t="s">
        <v>670</v>
      </c>
      <c r="D17" s="5" t="s">
        <v>671</v>
      </c>
      <c r="F17" s="26"/>
      <c r="G17"/>
    </row>
    <row r="18" spans="1:11" x14ac:dyDescent="0.35">
      <c r="E18" s="5">
        <v>0</v>
      </c>
      <c r="F18" s="26" t="s">
        <v>672</v>
      </c>
      <c r="G18" t="s">
        <v>672</v>
      </c>
      <c r="H18" s="5">
        <v>45880017</v>
      </c>
      <c r="I18" s="27">
        <v>1</v>
      </c>
      <c r="J18" s="28"/>
      <c r="K18" s="29"/>
    </row>
    <row r="19" spans="1:11" x14ac:dyDescent="0.35">
      <c r="E19" s="5">
        <v>1</v>
      </c>
      <c r="F19" s="5">
        <v>1</v>
      </c>
      <c r="G19" t="s">
        <v>1203</v>
      </c>
      <c r="H19" s="5">
        <v>45878303</v>
      </c>
      <c r="I19" s="27">
        <v>1</v>
      </c>
      <c r="J19" s="28"/>
      <c r="K19" s="29"/>
    </row>
    <row r="20" spans="1:11" x14ac:dyDescent="0.35">
      <c r="E20" s="5">
        <v>2</v>
      </c>
      <c r="F20" s="5">
        <v>2</v>
      </c>
      <c r="G20" t="s">
        <v>1204</v>
      </c>
      <c r="H20" s="5">
        <v>45878148</v>
      </c>
      <c r="I20" s="27"/>
      <c r="J20" s="28">
        <v>1</v>
      </c>
      <c r="K20" s="29"/>
    </row>
    <row r="21" spans="1:11" x14ac:dyDescent="0.35">
      <c r="E21" s="5">
        <v>3</v>
      </c>
      <c r="F21" s="5">
        <v>3</v>
      </c>
      <c r="G21" t="s">
        <v>1205</v>
      </c>
      <c r="H21" s="5">
        <v>45878305</v>
      </c>
      <c r="I21" s="27">
        <v>1</v>
      </c>
      <c r="J21" s="28"/>
      <c r="K21" s="29"/>
    </row>
    <row r="22" spans="1:11" x14ac:dyDescent="0.35">
      <c r="E22" s="5">
        <v>4</v>
      </c>
      <c r="F22" s="5">
        <v>4</v>
      </c>
      <c r="G22" t="s">
        <v>1206</v>
      </c>
      <c r="H22" s="5">
        <v>45878304</v>
      </c>
      <c r="I22" s="27">
        <v>1</v>
      </c>
      <c r="J22" s="28"/>
      <c r="K22" s="29"/>
    </row>
    <row r="23" spans="1:11" x14ac:dyDescent="0.35">
      <c r="E23" s="5">
        <v>5</v>
      </c>
      <c r="F23" s="5">
        <v>5</v>
      </c>
      <c r="G23" t="s">
        <v>1207</v>
      </c>
      <c r="H23" s="5">
        <v>45878730</v>
      </c>
      <c r="I23" s="27">
        <v>1</v>
      </c>
      <c r="J23" s="28"/>
      <c r="K23" s="29"/>
    </row>
    <row r="24" spans="1:11" x14ac:dyDescent="0.35">
      <c r="E24" s="5">
        <v>6</v>
      </c>
      <c r="F24" s="5">
        <v>6</v>
      </c>
      <c r="G24" t="s">
        <v>1208</v>
      </c>
      <c r="H24" s="5">
        <v>45878254</v>
      </c>
      <c r="I24" s="27">
        <v>1</v>
      </c>
      <c r="J24" s="28"/>
      <c r="K24" s="29"/>
    </row>
    <row r="25" spans="1:11" x14ac:dyDescent="0.35">
      <c r="E25" s="5">
        <v>7</v>
      </c>
      <c r="F25" s="5">
        <v>7</v>
      </c>
      <c r="G25" t="s">
        <v>1209</v>
      </c>
      <c r="H25" s="5">
        <v>45878731</v>
      </c>
      <c r="I25" s="27">
        <v>1</v>
      </c>
      <c r="J25" s="28"/>
      <c r="K25" s="29"/>
    </row>
    <row r="26" spans="1:11" x14ac:dyDescent="0.35">
      <c r="E26" s="5">
        <v>8</v>
      </c>
      <c r="F26" s="5">
        <v>8</v>
      </c>
      <c r="G26" t="s">
        <v>1210</v>
      </c>
      <c r="H26" s="5">
        <v>45882130</v>
      </c>
      <c r="I26" s="27">
        <v>1</v>
      </c>
      <c r="J26" s="28"/>
      <c r="K26" s="29"/>
    </row>
    <row r="27" spans="1:11" x14ac:dyDescent="0.35">
      <c r="E27" s="5">
        <v>9</v>
      </c>
      <c r="F27" s="5">
        <v>9</v>
      </c>
      <c r="G27" t="s">
        <v>1211</v>
      </c>
      <c r="H27" s="5">
        <v>45884157</v>
      </c>
      <c r="I27" s="27">
        <v>1</v>
      </c>
      <c r="J27" s="28"/>
      <c r="K27" s="29"/>
    </row>
    <row r="28" spans="1:11" x14ac:dyDescent="0.35">
      <c r="E28" s="5">
        <v>10</v>
      </c>
      <c r="F28" s="5" t="s">
        <v>673</v>
      </c>
      <c r="G28" t="s">
        <v>673</v>
      </c>
      <c r="H28" s="5">
        <v>46237547</v>
      </c>
      <c r="I28" s="27">
        <v>1</v>
      </c>
      <c r="J28" s="28"/>
      <c r="K28" s="29"/>
    </row>
    <row r="29" spans="1:11" x14ac:dyDescent="0.35">
      <c r="A29" s="5" t="s">
        <v>674</v>
      </c>
      <c r="B29" s="5" t="s">
        <v>675</v>
      </c>
      <c r="C29" s="5" t="s">
        <v>676</v>
      </c>
      <c r="D29" s="5" t="s">
        <v>677</v>
      </c>
      <c r="G29"/>
    </row>
    <row r="30" spans="1:11" x14ac:dyDescent="0.35">
      <c r="E30" s="5">
        <v>1</v>
      </c>
      <c r="F30" s="5" t="s">
        <v>678</v>
      </c>
      <c r="G30" t="s">
        <v>1212</v>
      </c>
      <c r="H30" s="5">
        <v>45883172</v>
      </c>
      <c r="I30" s="27">
        <v>1</v>
      </c>
      <c r="J30" s="28"/>
      <c r="K30" s="29"/>
    </row>
    <row r="31" spans="1:11" x14ac:dyDescent="0.35">
      <c r="E31" s="5">
        <v>2</v>
      </c>
      <c r="F31" s="5" t="s">
        <v>679</v>
      </c>
      <c r="G31" t="s">
        <v>1213</v>
      </c>
      <c r="H31" s="5">
        <v>45876949</v>
      </c>
      <c r="I31" s="27">
        <v>1</v>
      </c>
      <c r="J31" s="28"/>
      <c r="K31" s="29"/>
    </row>
    <row r="32" spans="1:11" x14ac:dyDescent="0.35">
      <c r="E32" s="5">
        <v>3</v>
      </c>
      <c r="F32" s="5" t="s">
        <v>680</v>
      </c>
      <c r="G32" t="s">
        <v>1214</v>
      </c>
      <c r="H32" s="5">
        <v>45884456</v>
      </c>
      <c r="I32" s="27">
        <v>1</v>
      </c>
      <c r="J32" s="28"/>
      <c r="K32" s="29"/>
    </row>
    <row r="33" spans="1:11" x14ac:dyDescent="0.35">
      <c r="E33" s="5">
        <v>4</v>
      </c>
      <c r="F33" s="5" t="s">
        <v>681</v>
      </c>
      <c r="G33" t="s">
        <v>1215</v>
      </c>
      <c r="H33" s="5">
        <v>45885256</v>
      </c>
      <c r="I33" s="27">
        <v>1</v>
      </c>
      <c r="J33" s="28"/>
      <c r="K33" s="29"/>
    </row>
    <row r="34" spans="1:11" x14ac:dyDescent="0.35">
      <c r="A34" s="5" t="s">
        <v>682</v>
      </c>
      <c r="B34" s="5" t="s">
        <v>683</v>
      </c>
      <c r="C34" s="5" t="s">
        <v>684</v>
      </c>
      <c r="D34" s="5" t="s">
        <v>685</v>
      </c>
      <c r="G34"/>
    </row>
    <row r="35" spans="1:11" x14ac:dyDescent="0.35">
      <c r="E35" s="5">
        <v>1</v>
      </c>
      <c r="F35" s="5" t="s">
        <v>678</v>
      </c>
      <c r="G35" t="s">
        <v>1212</v>
      </c>
      <c r="H35" s="5">
        <v>45883172</v>
      </c>
      <c r="I35" s="27">
        <v>1</v>
      </c>
      <c r="J35" s="28"/>
      <c r="K35" s="29"/>
    </row>
    <row r="36" spans="1:11" x14ac:dyDescent="0.35">
      <c r="E36" s="5">
        <v>2</v>
      </c>
      <c r="F36" s="5" t="s">
        <v>686</v>
      </c>
      <c r="G36" t="s">
        <v>1216</v>
      </c>
      <c r="H36" s="5">
        <v>45881667</v>
      </c>
      <c r="I36" s="27">
        <v>1</v>
      </c>
      <c r="J36" s="28"/>
      <c r="K36" s="29"/>
    </row>
    <row r="37" spans="1:11" x14ac:dyDescent="0.35">
      <c r="E37" s="5">
        <v>3</v>
      </c>
      <c r="F37" s="5" t="s">
        <v>687</v>
      </c>
      <c r="G37" t="s">
        <v>1217</v>
      </c>
      <c r="H37" s="5">
        <v>45876385</v>
      </c>
      <c r="I37" s="27">
        <v>1</v>
      </c>
      <c r="J37" s="28"/>
      <c r="K37" s="29"/>
    </row>
    <row r="38" spans="1:11" x14ac:dyDescent="0.35">
      <c r="E38" s="5">
        <v>4</v>
      </c>
      <c r="F38" s="5" t="s">
        <v>688</v>
      </c>
      <c r="G38" t="s">
        <v>1214</v>
      </c>
      <c r="H38" s="5">
        <v>45884456</v>
      </c>
      <c r="I38" s="27">
        <v>1</v>
      </c>
      <c r="J38" s="28"/>
      <c r="K38" s="29"/>
    </row>
    <row r="39" spans="1:11" x14ac:dyDescent="0.35">
      <c r="E39" s="5">
        <v>5</v>
      </c>
      <c r="F39" s="5" t="s">
        <v>689</v>
      </c>
      <c r="G39" t="s">
        <v>1215</v>
      </c>
      <c r="H39" s="5">
        <v>45885256</v>
      </c>
      <c r="I39" s="27">
        <v>1</v>
      </c>
      <c r="J39" s="28"/>
      <c r="K39" s="29"/>
    </row>
    <row r="40" spans="1:11" x14ac:dyDescent="0.35">
      <c r="A40" s="5" t="s">
        <v>690</v>
      </c>
      <c r="B40" s="5" t="s">
        <v>691</v>
      </c>
      <c r="C40" s="5" t="s">
        <v>692</v>
      </c>
      <c r="D40" s="5" t="s">
        <v>693</v>
      </c>
      <c r="G40"/>
    </row>
    <row r="41" spans="1:11" x14ac:dyDescent="0.35">
      <c r="E41" s="5">
        <v>5</v>
      </c>
      <c r="F41" s="5" t="s">
        <v>694</v>
      </c>
      <c r="G41" t="s">
        <v>1218</v>
      </c>
      <c r="H41" s="5">
        <v>45879118</v>
      </c>
      <c r="I41" s="27">
        <v>1</v>
      </c>
      <c r="J41" s="28"/>
      <c r="K41" s="29"/>
    </row>
    <row r="42" spans="1:11" x14ac:dyDescent="0.35">
      <c r="E42" s="5">
        <v>4</v>
      </c>
      <c r="F42" s="5" t="s">
        <v>695</v>
      </c>
      <c r="G42" t="s">
        <v>1219</v>
      </c>
      <c r="H42" s="5">
        <v>45878070</v>
      </c>
      <c r="I42" s="27">
        <v>1</v>
      </c>
      <c r="J42" s="28"/>
      <c r="K42" s="29"/>
    </row>
    <row r="43" spans="1:11" x14ac:dyDescent="0.35">
      <c r="E43" s="5">
        <v>3</v>
      </c>
      <c r="F43" s="5" t="s">
        <v>696</v>
      </c>
      <c r="G43" t="s">
        <v>1220</v>
      </c>
      <c r="H43" s="5">
        <v>45884554</v>
      </c>
      <c r="I43" s="27">
        <v>1</v>
      </c>
      <c r="J43" s="28"/>
      <c r="K43" s="29"/>
    </row>
    <row r="44" spans="1:11" x14ac:dyDescent="0.35">
      <c r="E44" s="5">
        <v>2</v>
      </c>
      <c r="F44" s="5" t="s">
        <v>679</v>
      </c>
      <c r="G44" t="s">
        <v>1213</v>
      </c>
      <c r="H44" s="5">
        <v>45876949</v>
      </c>
      <c r="I44" s="27">
        <v>1</v>
      </c>
      <c r="J44" s="28"/>
      <c r="K44" s="29"/>
    </row>
    <row r="45" spans="1:11" x14ac:dyDescent="0.35">
      <c r="E45" s="5">
        <v>1</v>
      </c>
      <c r="F45" s="5" t="s">
        <v>678</v>
      </c>
      <c r="G45" t="s">
        <v>1212</v>
      </c>
      <c r="H45" s="5">
        <v>45883172</v>
      </c>
      <c r="I45" s="27">
        <v>1</v>
      </c>
      <c r="J45" s="28"/>
      <c r="K45" s="29"/>
    </row>
    <row r="46" spans="1:11" x14ac:dyDescent="0.35">
      <c r="A46" s="5" t="s">
        <v>697</v>
      </c>
      <c r="B46" s="5" t="s">
        <v>698</v>
      </c>
      <c r="C46" s="5" t="s">
        <v>699</v>
      </c>
      <c r="D46" s="5" t="s">
        <v>700</v>
      </c>
      <c r="G46"/>
    </row>
    <row r="47" spans="1:11" x14ac:dyDescent="0.35">
      <c r="E47" s="5">
        <v>1</v>
      </c>
      <c r="F47" s="5" t="s">
        <v>867</v>
      </c>
      <c r="G47" t="s">
        <v>1221</v>
      </c>
      <c r="H47" s="5">
        <v>45878558</v>
      </c>
      <c r="I47" s="27">
        <v>1</v>
      </c>
      <c r="J47" s="28"/>
      <c r="K47" s="29"/>
    </row>
    <row r="48" spans="1:11" x14ac:dyDescent="0.35">
      <c r="E48" s="5">
        <v>2</v>
      </c>
      <c r="F48" s="5" t="s">
        <v>868</v>
      </c>
      <c r="G48" t="s">
        <v>1222</v>
      </c>
      <c r="H48" s="5">
        <v>45876751</v>
      </c>
      <c r="I48" s="27">
        <v>1</v>
      </c>
      <c r="J48" s="28"/>
      <c r="K48" s="29"/>
    </row>
    <row r="49" spans="1:11" x14ac:dyDescent="0.35">
      <c r="E49" s="5">
        <v>3</v>
      </c>
      <c r="F49" s="5" t="s">
        <v>869</v>
      </c>
      <c r="G49" t="s">
        <v>1223</v>
      </c>
      <c r="H49" s="5">
        <v>45876387</v>
      </c>
      <c r="I49" s="27">
        <v>1</v>
      </c>
      <c r="J49" s="28"/>
      <c r="K49" s="29"/>
    </row>
    <row r="50" spans="1:11" x14ac:dyDescent="0.35">
      <c r="E50" s="5">
        <v>4</v>
      </c>
      <c r="F50" s="5" t="s">
        <v>870</v>
      </c>
      <c r="G50" t="s">
        <v>1224</v>
      </c>
      <c r="H50" s="5">
        <v>1990256</v>
      </c>
      <c r="I50" s="27">
        <v>1</v>
      </c>
      <c r="J50" s="28"/>
      <c r="K50" s="29"/>
    </row>
    <row r="51" spans="1:11" x14ac:dyDescent="0.35">
      <c r="E51" s="5">
        <v>5</v>
      </c>
      <c r="F51" s="5" t="s">
        <v>871</v>
      </c>
      <c r="G51" t="s">
        <v>1225</v>
      </c>
      <c r="H51" s="5">
        <v>45876386</v>
      </c>
      <c r="I51" s="27">
        <v>1</v>
      </c>
      <c r="J51" s="28"/>
      <c r="K51" s="29"/>
    </row>
    <row r="52" spans="1:11" x14ac:dyDescent="0.35">
      <c r="E52" s="5">
        <v>6</v>
      </c>
      <c r="F52" s="5" t="s">
        <v>872</v>
      </c>
      <c r="G52" t="s">
        <v>1226</v>
      </c>
      <c r="H52" s="5">
        <v>45884457</v>
      </c>
      <c r="I52" s="27">
        <v>1</v>
      </c>
      <c r="J52" s="28"/>
      <c r="K52" s="29"/>
    </row>
    <row r="53" spans="1:11" x14ac:dyDescent="0.35">
      <c r="E53" s="5">
        <v>7</v>
      </c>
      <c r="F53" s="5" t="s">
        <v>873</v>
      </c>
      <c r="G53" t="s">
        <v>1227</v>
      </c>
      <c r="H53" s="5">
        <v>45881924</v>
      </c>
      <c r="I53" s="27">
        <v>1</v>
      </c>
      <c r="J53" s="28"/>
      <c r="K53" s="29"/>
    </row>
    <row r="54" spans="1:11" x14ac:dyDescent="0.35">
      <c r="A54" s="5" t="s">
        <v>52</v>
      </c>
      <c r="B54" s="5" t="s">
        <v>701</v>
      </c>
      <c r="C54" s="5" t="s">
        <v>702</v>
      </c>
      <c r="D54" s="5" t="s">
        <v>703</v>
      </c>
      <c r="G54"/>
    </row>
    <row r="55" spans="1:11" x14ac:dyDescent="0.35">
      <c r="E55" s="5">
        <v>5</v>
      </c>
      <c r="F55" s="5" t="s">
        <v>874</v>
      </c>
      <c r="G55" t="s">
        <v>1227</v>
      </c>
      <c r="H55" s="11">
        <v>45881924</v>
      </c>
      <c r="I55" s="27">
        <v>1</v>
      </c>
      <c r="J55" s="28"/>
      <c r="K55" s="29"/>
    </row>
    <row r="56" spans="1:11" x14ac:dyDescent="0.35">
      <c r="E56" s="5">
        <v>4</v>
      </c>
      <c r="F56" s="5" t="s">
        <v>875</v>
      </c>
      <c r="G56" t="s">
        <v>1226</v>
      </c>
      <c r="H56" s="11">
        <v>45884457</v>
      </c>
      <c r="I56" s="27">
        <v>1</v>
      </c>
      <c r="J56" s="28"/>
      <c r="K56" s="29"/>
    </row>
    <row r="57" spans="1:11" x14ac:dyDescent="0.35">
      <c r="E57" s="5">
        <v>3</v>
      </c>
      <c r="F57" s="5" t="s">
        <v>876</v>
      </c>
      <c r="G57" t="s">
        <v>1225</v>
      </c>
      <c r="H57" s="11">
        <v>45876386</v>
      </c>
      <c r="I57" s="27">
        <v>1</v>
      </c>
      <c r="J57" s="28"/>
      <c r="K57" s="29"/>
    </row>
    <row r="58" spans="1:11" x14ac:dyDescent="0.35">
      <c r="E58" s="5">
        <v>2</v>
      </c>
      <c r="F58" s="5" t="s">
        <v>877</v>
      </c>
      <c r="G58" t="s">
        <v>1223</v>
      </c>
      <c r="H58" s="11">
        <v>45876387</v>
      </c>
      <c r="I58" s="27">
        <v>1</v>
      </c>
      <c r="J58" s="28"/>
      <c r="K58" s="29"/>
    </row>
    <row r="59" spans="1:11" x14ac:dyDescent="0.35">
      <c r="E59" s="5">
        <v>1</v>
      </c>
      <c r="F59" s="5" t="s">
        <v>878</v>
      </c>
      <c r="G59" t="s">
        <v>1222</v>
      </c>
      <c r="H59" s="11">
        <v>45876751</v>
      </c>
      <c r="I59" s="27">
        <v>1</v>
      </c>
      <c r="J59" s="28"/>
      <c r="K59" s="29"/>
    </row>
    <row r="60" spans="1:11" x14ac:dyDescent="0.35">
      <c r="A60" s="5" t="s">
        <v>704</v>
      </c>
      <c r="B60" s="5" t="s">
        <v>705</v>
      </c>
      <c r="C60" s="5" t="s">
        <v>884</v>
      </c>
      <c r="D60" s="5" t="s">
        <v>706</v>
      </c>
      <c r="G60"/>
    </row>
    <row r="61" spans="1:11" x14ac:dyDescent="0.35">
      <c r="E61" s="5">
        <v>5</v>
      </c>
      <c r="F61" s="5" t="s">
        <v>879</v>
      </c>
      <c r="G61" t="s">
        <v>1228</v>
      </c>
      <c r="H61" s="5">
        <v>45883841</v>
      </c>
      <c r="I61" s="27">
        <v>1</v>
      </c>
      <c r="J61" s="28"/>
      <c r="K61" s="29"/>
    </row>
    <row r="62" spans="1:11" x14ac:dyDescent="0.35">
      <c r="E62" s="5">
        <v>4</v>
      </c>
      <c r="F62" s="5" t="s">
        <v>880</v>
      </c>
      <c r="G62" t="s">
        <v>1229</v>
      </c>
      <c r="H62" s="5">
        <v>45883536</v>
      </c>
      <c r="I62" s="27">
        <v>1</v>
      </c>
      <c r="J62" s="28"/>
      <c r="K62" s="29"/>
    </row>
    <row r="63" spans="1:11" x14ac:dyDescent="0.35">
      <c r="E63" s="5">
        <v>3</v>
      </c>
      <c r="F63" s="5" t="s">
        <v>881</v>
      </c>
      <c r="G63" t="s">
        <v>1230</v>
      </c>
      <c r="H63" s="5">
        <v>45877983</v>
      </c>
      <c r="I63" s="27">
        <v>1</v>
      </c>
      <c r="J63" s="28"/>
      <c r="K63" s="29"/>
    </row>
    <row r="64" spans="1:11" x14ac:dyDescent="0.35">
      <c r="E64" s="5">
        <v>2</v>
      </c>
      <c r="F64" s="5" t="s">
        <v>882</v>
      </c>
      <c r="G64" t="s">
        <v>1231</v>
      </c>
      <c r="H64" s="5">
        <v>45883535</v>
      </c>
      <c r="I64" s="27">
        <v>1</v>
      </c>
      <c r="J64" s="28"/>
      <c r="K64" s="29"/>
    </row>
    <row r="65" spans="1:11" x14ac:dyDescent="0.35">
      <c r="E65" s="5">
        <v>1</v>
      </c>
      <c r="F65" s="5" t="s">
        <v>883</v>
      </c>
      <c r="G65" t="s">
        <v>1232</v>
      </c>
      <c r="H65" s="5">
        <v>45878582</v>
      </c>
      <c r="I65" s="27">
        <v>1</v>
      </c>
      <c r="J65" s="28"/>
      <c r="K65" s="29"/>
    </row>
    <row r="66" spans="1:11" x14ac:dyDescent="0.35">
      <c r="A66" s="5" t="s">
        <v>707</v>
      </c>
      <c r="B66" s="5" t="s">
        <v>708</v>
      </c>
      <c r="C66" s="5" t="s">
        <v>709</v>
      </c>
      <c r="D66" s="5" t="s">
        <v>710</v>
      </c>
      <c r="G66"/>
    </row>
    <row r="67" spans="1:11" x14ac:dyDescent="0.35">
      <c r="E67" s="5">
        <v>0</v>
      </c>
      <c r="F67" s="5" t="s">
        <v>885</v>
      </c>
      <c r="G67" t="s">
        <v>1232</v>
      </c>
      <c r="H67" s="5">
        <v>45878582</v>
      </c>
      <c r="I67" s="27">
        <v>1</v>
      </c>
      <c r="J67" s="28"/>
      <c r="K67" s="29"/>
    </row>
    <row r="68" spans="1:11" x14ac:dyDescent="0.35">
      <c r="E68" s="5">
        <v>1</v>
      </c>
      <c r="F68" s="5" t="s">
        <v>886</v>
      </c>
      <c r="G68" t="s">
        <v>1231</v>
      </c>
      <c r="H68" s="5">
        <v>45883535</v>
      </c>
      <c r="I68" s="27">
        <v>1</v>
      </c>
      <c r="J68" s="28"/>
      <c r="K68" s="29"/>
    </row>
    <row r="69" spans="1:11" x14ac:dyDescent="0.35">
      <c r="E69" s="5">
        <v>2</v>
      </c>
      <c r="F69" s="5" t="s">
        <v>887</v>
      </c>
      <c r="G69" t="s">
        <v>1230</v>
      </c>
      <c r="H69" s="5">
        <v>45877983</v>
      </c>
      <c r="I69" s="27">
        <v>1</v>
      </c>
      <c r="J69" s="28"/>
      <c r="K69" s="29"/>
    </row>
    <row r="70" spans="1:11" x14ac:dyDescent="0.35">
      <c r="E70" s="5">
        <v>3</v>
      </c>
      <c r="F70" s="5" t="s">
        <v>888</v>
      </c>
      <c r="G70" t="s">
        <v>1229</v>
      </c>
      <c r="H70" s="5">
        <v>45883536</v>
      </c>
      <c r="I70" s="27">
        <v>1</v>
      </c>
      <c r="J70" s="28"/>
      <c r="K70" s="29"/>
    </row>
    <row r="71" spans="1:11" x14ac:dyDescent="0.35">
      <c r="A71" s="5" t="s">
        <v>711</v>
      </c>
      <c r="B71" s="5" t="s">
        <v>712</v>
      </c>
      <c r="C71" s="5" t="s">
        <v>713</v>
      </c>
      <c r="D71" s="5" t="s">
        <v>714</v>
      </c>
      <c r="G71"/>
    </row>
    <row r="72" spans="1:11" x14ac:dyDescent="0.35">
      <c r="E72" s="5">
        <v>1</v>
      </c>
      <c r="F72" s="5" t="s">
        <v>889</v>
      </c>
      <c r="G72" t="s">
        <v>1233</v>
      </c>
      <c r="H72" s="5">
        <v>45876662</v>
      </c>
      <c r="I72" s="27">
        <v>1</v>
      </c>
      <c r="J72" s="28"/>
      <c r="K72" s="29"/>
    </row>
    <row r="73" spans="1:11" x14ac:dyDescent="0.35">
      <c r="E73" s="5">
        <v>2</v>
      </c>
      <c r="F73" s="5" t="s">
        <v>890</v>
      </c>
      <c r="G73" t="s">
        <v>1234</v>
      </c>
      <c r="H73" s="5">
        <v>45876672</v>
      </c>
      <c r="I73" s="27">
        <v>1</v>
      </c>
      <c r="J73" s="28"/>
      <c r="K73" s="29"/>
    </row>
    <row r="74" spans="1:11" x14ac:dyDescent="0.35">
      <c r="E74" s="5">
        <v>3</v>
      </c>
      <c r="F74" s="5" t="s">
        <v>891</v>
      </c>
      <c r="G74" t="s">
        <v>1235</v>
      </c>
      <c r="H74" s="5">
        <v>45879593</v>
      </c>
      <c r="I74" s="27">
        <v>1</v>
      </c>
      <c r="J74" s="28"/>
      <c r="K74" s="29"/>
    </row>
    <row r="75" spans="1:11" x14ac:dyDescent="0.35">
      <c r="E75" s="5">
        <v>4</v>
      </c>
      <c r="F75" s="5" t="s">
        <v>892</v>
      </c>
      <c r="G75" t="s">
        <v>1236</v>
      </c>
      <c r="H75" s="5">
        <v>45883983</v>
      </c>
      <c r="I75" s="27">
        <v>1</v>
      </c>
      <c r="J75" s="28"/>
      <c r="K75" s="29"/>
    </row>
    <row r="76" spans="1:11" x14ac:dyDescent="0.35">
      <c r="E76" s="5">
        <v>5</v>
      </c>
      <c r="F76" s="5" t="s">
        <v>893</v>
      </c>
      <c r="G76" t="s">
        <v>1237</v>
      </c>
      <c r="H76" s="5">
        <v>45881126</v>
      </c>
      <c r="I76" s="27">
        <v>1</v>
      </c>
      <c r="J76" s="28"/>
      <c r="K76" s="29"/>
    </row>
    <row r="77" spans="1:11" x14ac:dyDescent="0.35">
      <c r="A77" s="5" t="s">
        <v>715</v>
      </c>
      <c r="B77" s="5" t="s">
        <v>716</v>
      </c>
      <c r="C77" s="5" t="s">
        <v>899</v>
      </c>
      <c r="D77" s="5" t="s">
        <v>717</v>
      </c>
      <c r="G77"/>
    </row>
    <row r="78" spans="1:11" x14ac:dyDescent="0.35">
      <c r="E78" s="5">
        <v>5</v>
      </c>
      <c r="F78" s="5" t="s">
        <v>894</v>
      </c>
      <c r="G78" t="s">
        <v>1233</v>
      </c>
      <c r="H78" s="5">
        <v>45876662</v>
      </c>
      <c r="I78" s="27">
        <v>1</v>
      </c>
      <c r="J78" s="28"/>
      <c r="K78" s="29"/>
    </row>
    <row r="79" spans="1:11" x14ac:dyDescent="0.35">
      <c r="E79" s="5">
        <v>4</v>
      </c>
      <c r="F79" s="5" t="s">
        <v>895</v>
      </c>
      <c r="G79" t="s">
        <v>1234</v>
      </c>
      <c r="H79" s="5">
        <v>45876672</v>
      </c>
      <c r="I79" s="27">
        <v>1</v>
      </c>
      <c r="J79" s="28"/>
      <c r="K79" s="29"/>
    </row>
    <row r="80" spans="1:11" x14ac:dyDescent="0.35">
      <c r="E80" s="5">
        <v>3</v>
      </c>
      <c r="F80" s="5" t="s">
        <v>896</v>
      </c>
      <c r="G80" t="s">
        <v>1238</v>
      </c>
      <c r="H80" s="5">
        <v>45882528</v>
      </c>
      <c r="I80" s="27">
        <v>1</v>
      </c>
      <c r="J80" s="28"/>
      <c r="K80" s="29"/>
    </row>
    <row r="81" spans="1:11" x14ac:dyDescent="0.35">
      <c r="E81" s="5">
        <v>2</v>
      </c>
      <c r="F81" s="5" t="s">
        <v>897</v>
      </c>
      <c r="G81" t="s">
        <v>1239</v>
      </c>
      <c r="H81" s="5">
        <v>45884455</v>
      </c>
      <c r="I81" s="27">
        <v>1</v>
      </c>
      <c r="J81" s="28"/>
      <c r="K81" s="29"/>
    </row>
    <row r="82" spans="1:11" x14ac:dyDescent="0.35">
      <c r="E82" s="5">
        <v>1</v>
      </c>
      <c r="F82" s="5" t="s">
        <v>898</v>
      </c>
      <c r="G82" t="s">
        <v>1240</v>
      </c>
      <c r="H82" s="5">
        <v>45882536</v>
      </c>
      <c r="I82" s="27">
        <v>1</v>
      </c>
      <c r="J82" s="28"/>
      <c r="K82" s="29"/>
    </row>
    <row r="83" spans="1:11" x14ac:dyDescent="0.35">
      <c r="A83" s="5" t="s">
        <v>718</v>
      </c>
      <c r="B83" s="5" t="s">
        <v>719</v>
      </c>
      <c r="C83" s="5" t="s">
        <v>720</v>
      </c>
      <c r="D83" s="5" t="s">
        <v>721</v>
      </c>
      <c r="G83"/>
    </row>
    <row r="84" spans="1:11" x14ac:dyDescent="0.35">
      <c r="E84" s="5">
        <v>5</v>
      </c>
      <c r="F84" s="5" t="s">
        <v>894</v>
      </c>
      <c r="G84" t="s">
        <v>1233</v>
      </c>
      <c r="H84" s="5">
        <v>45876662</v>
      </c>
      <c r="I84" s="27">
        <v>1</v>
      </c>
      <c r="J84" s="28"/>
      <c r="K84" s="29"/>
    </row>
    <row r="85" spans="1:11" x14ac:dyDescent="0.35">
      <c r="E85" s="5">
        <v>4</v>
      </c>
      <c r="F85" s="5" t="s">
        <v>900</v>
      </c>
      <c r="G85" t="s">
        <v>1241</v>
      </c>
      <c r="H85" s="5">
        <v>45885306</v>
      </c>
      <c r="I85" s="27">
        <v>1</v>
      </c>
      <c r="J85" s="28"/>
      <c r="K85" s="29"/>
    </row>
    <row r="86" spans="1:11" x14ac:dyDescent="0.35">
      <c r="E86" s="5">
        <v>3</v>
      </c>
      <c r="F86" s="5" t="s">
        <v>901</v>
      </c>
      <c r="G86" t="s">
        <v>1242</v>
      </c>
      <c r="H86" s="5">
        <v>45881490</v>
      </c>
      <c r="I86" s="27">
        <v>1</v>
      </c>
      <c r="J86" s="28"/>
      <c r="K86" s="29"/>
    </row>
    <row r="87" spans="1:11" x14ac:dyDescent="0.35">
      <c r="E87" s="5">
        <v>2</v>
      </c>
      <c r="F87" s="5" t="s">
        <v>902</v>
      </c>
      <c r="G87" t="s">
        <v>1243</v>
      </c>
      <c r="H87" s="5">
        <v>45885307</v>
      </c>
      <c r="I87" s="27">
        <v>1</v>
      </c>
      <c r="J87" s="28"/>
      <c r="K87" s="29"/>
    </row>
    <row r="88" spans="1:11" x14ac:dyDescent="0.35">
      <c r="E88" s="5">
        <v>1</v>
      </c>
      <c r="F88" s="5" t="s">
        <v>903</v>
      </c>
      <c r="G88" t="s">
        <v>1244</v>
      </c>
      <c r="H88" s="5">
        <v>45877832</v>
      </c>
      <c r="I88" s="27">
        <v>1</v>
      </c>
      <c r="J88" s="28"/>
      <c r="K88" s="29"/>
    </row>
    <row r="89" spans="1:11" x14ac:dyDescent="0.35">
      <c r="A89" s="5" t="s">
        <v>722</v>
      </c>
      <c r="B89" s="5" t="s">
        <v>723</v>
      </c>
      <c r="C89" s="5" t="s">
        <v>724</v>
      </c>
      <c r="D89" s="5" t="s">
        <v>725</v>
      </c>
      <c r="G89"/>
      <c r="I89" s="27"/>
      <c r="J89" s="28"/>
      <c r="K89" s="29"/>
    </row>
    <row r="90" spans="1:11" x14ac:dyDescent="0.35">
      <c r="F90" s="5" t="s">
        <v>904</v>
      </c>
      <c r="G90" t="s">
        <v>1245</v>
      </c>
      <c r="H90" s="5" t="s">
        <v>919</v>
      </c>
      <c r="I90" s="27"/>
      <c r="J90" s="28">
        <v>1</v>
      </c>
      <c r="K90" s="29"/>
    </row>
    <row r="91" spans="1:11" x14ac:dyDescent="0.35">
      <c r="F91" s="5" t="s">
        <v>905</v>
      </c>
      <c r="G91" t="s">
        <v>1246</v>
      </c>
      <c r="H91" s="5" t="s">
        <v>920</v>
      </c>
      <c r="I91" s="27">
        <v>1</v>
      </c>
      <c r="J91" s="28"/>
      <c r="K91" s="29"/>
    </row>
    <row r="92" spans="1:11" x14ac:dyDescent="0.35">
      <c r="F92" s="5" t="s">
        <v>906</v>
      </c>
      <c r="G92" t="s">
        <v>1247</v>
      </c>
      <c r="H92" s="5" t="s">
        <v>921</v>
      </c>
      <c r="I92" s="27">
        <v>1</v>
      </c>
      <c r="J92" s="28"/>
      <c r="K92" s="29"/>
    </row>
    <row r="93" spans="1:11" x14ac:dyDescent="0.35">
      <c r="F93" s="5" t="s">
        <v>907</v>
      </c>
      <c r="G93" t="s">
        <v>1248</v>
      </c>
      <c r="H93" s="5" t="s">
        <v>922</v>
      </c>
      <c r="I93" s="27">
        <v>1</v>
      </c>
      <c r="J93" s="28"/>
      <c r="K93" s="29"/>
    </row>
    <row r="94" spans="1:11" x14ac:dyDescent="0.35">
      <c r="F94" s="5" t="s">
        <v>908</v>
      </c>
      <c r="G94" t="s">
        <v>26</v>
      </c>
      <c r="H94" s="5" t="s">
        <v>923</v>
      </c>
      <c r="I94" s="27">
        <v>1</v>
      </c>
      <c r="J94" s="28"/>
      <c r="K94" s="29"/>
    </row>
    <row r="95" spans="1:11" x14ac:dyDescent="0.35">
      <c r="F95" s="5" t="s">
        <v>909</v>
      </c>
      <c r="G95" t="s">
        <v>1249</v>
      </c>
      <c r="H95" s="5" t="s">
        <v>924</v>
      </c>
      <c r="I95" s="27"/>
      <c r="J95" s="28">
        <v>1</v>
      </c>
      <c r="K95" s="29"/>
    </row>
    <row r="96" spans="1:11" x14ac:dyDescent="0.35">
      <c r="F96" s="5" t="s">
        <v>910</v>
      </c>
      <c r="G96" t="s">
        <v>1250</v>
      </c>
      <c r="H96" s="5" t="s">
        <v>925</v>
      </c>
      <c r="I96" s="27">
        <v>1</v>
      </c>
      <c r="J96" s="28"/>
      <c r="K96" s="29"/>
    </row>
    <row r="97" spans="1:11" x14ac:dyDescent="0.35">
      <c r="F97" s="5" t="s">
        <v>911</v>
      </c>
      <c r="G97" t="s">
        <v>1251</v>
      </c>
      <c r="H97" s="5" t="s">
        <v>926</v>
      </c>
      <c r="I97" s="27">
        <v>1</v>
      </c>
      <c r="J97" s="28"/>
      <c r="K97" s="29"/>
    </row>
    <row r="98" spans="1:11" x14ac:dyDescent="0.35">
      <c r="F98" s="5" t="s">
        <v>912</v>
      </c>
      <c r="G98" t="s">
        <v>1252</v>
      </c>
      <c r="H98" s="5" t="s">
        <v>927</v>
      </c>
      <c r="I98" s="27"/>
      <c r="J98" s="28">
        <v>1</v>
      </c>
      <c r="K98" s="29"/>
    </row>
    <row r="99" spans="1:11" x14ac:dyDescent="0.35">
      <c r="F99" s="5" t="s">
        <v>913</v>
      </c>
      <c r="G99" t="s">
        <v>1253</v>
      </c>
      <c r="H99" s="5" t="s">
        <v>928</v>
      </c>
      <c r="I99" s="27">
        <v>1</v>
      </c>
      <c r="J99" s="28"/>
      <c r="K99" s="29"/>
    </row>
    <row r="100" spans="1:11" x14ac:dyDescent="0.35">
      <c r="F100" s="5" t="s">
        <v>914</v>
      </c>
      <c r="G100" t="s">
        <v>1254</v>
      </c>
      <c r="H100" s="5" t="s">
        <v>929</v>
      </c>
      <c r="I100" s="27">
        <v>1</v>
      </c>
      <c r="J100" s="28"/>
      <c r="K100" s="29"/>
    </row>
    <row r="101" spans="1:11" x14ac:dyDescent="0.35">
      <c r="F101" s="5" t="s">
        <v>915</v>
      </c>
      <c r="G101" t="s">
        <v>1255</v>
      </c>
      <c r="H101" s="5" t="s">
        <v>930</v>
      </c>
      <c r="I101" s="27">
        <v>1</v>
      </c>
      <c r="J101" s="28"/>
      <c r="K101" s="29"/>
    </row>
    <row r="102" spans="1:11" x14ac:dyDescent="0.35">
      <c r="F102" s="5" t="s">
        <v>916</v>
      </c>
      <c r="G102" t="s">
        <v>1256</v>
      </c>
      <c r="H102" s="5" t="s">
        <v>931</v>
      </c>
      <c r="I102" s="27">
        <v>1</v>
      </c>
      <c r="J102" s="28"/>
      <c r="K102" s="29"/>
    </row>
    <row r="103" spans="1:11" x14ac:dyDescent="0.35">
      <c r="F103" s="5" t="s">
        <v>917</v>
      </c>
      <c r="G103" t="s">
        <v>1257</v>
      </c>
      <c r="H103" s="5" t="s">
        <v>932</v>
      </c>
      <c r="I103" s="27">
        <v>1</v>
      </c>
      <c r="J103" s="28"/>
      <c r="K103" s="29"/>
    </row>
    <row r="104" spans="1:11" x14ac:dyDescent="0.35">
      <c r="F104" s="5" t="s">
        <v>918</v>
      </c>
      <c r="G104" t="s">
        <v>1258</v>
      </c>
      <c r="H104" s="5" t="s">
        <v>933</v>
      </c>
      <c r="I104" s="27"/>
      <c r="J104" s="28">
        <v>1</v>
      </c>
      <c r="K104" s="29"/>
    </row>
    <row r="105" spans="1:11" x14ac:dyDescent="0.35">
      <c r="A105" s="5" t="s">
        <v>726</v>
      </c>
      <c r="B105" s="5" t="s">
        <v>727</v>
      </c>
      <c r="C105" s="5" t="s">
        <v>728</v>
      </c>
      <c r="D105" s="5" t="s">
        <v>729</v>
      </c>
      <c r="G105"/>
    </row>
    <row r="106" spans="1:11" x14ac:dyDescent="0.35">
      <c r="E106" s="5">
        <v>3</v>
      </c>
      <c r="F106" s="5" t="s">
        <v>934</v>
      </c>
      <c r="G106" t="s">
        <v>1259</v>
      </c>
      <c r="H106" s="5">
        <v>45884643</v>
      </c>
      <c r="I106" s="27"/>
      <c r="J106" s="28">
        <v>1</v>
      </c>
      <c r="K106" s="29"/>
    </row>
    <row r="107" spans="1:11" x14ac:dyDescent="0.35">
      <c r="E107" s="5">
        <v>2</v>
      </c>
      <c r="F107" s="5" t="s">
        <v>935</v>
      </c>
      <c r="G107" t="s">
        <v>1260</v>
      </c>
      <c r="H107" s="5">
        <v>45882342</v>
      </c>
      <c r="I107" s="27"/>
      <c r="J107" s="28">
        <v>1</v>
      </c>
      <c r="K107" s="29"/>
    </row>
    <row r="108" spans="1:11" x14ac:dyDescent="0.35">
      <c r="E108" s="5">
        <v>1</v>
      </c>
      <c r="F108" s="5" t="s">
        <v>936</v>
      </c>
      <c r="G108" t="s">
        <v>1261</v>
      </c>
      <c r="H108" s="5">
        <v>45881735</v>
      </c>
      <c r="I108" s="27"/>
      <c r="J108" s="28">
        <v>1</v>
      </c>
      <c r="K108" s="29"/>
    </row>
    <row r="109" spans="1:11" x14ac:dyDescent="0.35">
      <c r="E109" s="5">
        <v>0</v>
      </c>
      <c r="F109" s="5" t="s">
        <v>937</v>
      </c>
      <c r="G109" t="s">
        <v>1262</v>
      </c>
      <c r="H109" s="5">
        <v>45879146</v>
      </c>
      <c r="I109" s="27"/>
      <c r="J109" s="28">
        <v>1</v>
      </c>
      <c r="K109" s="29"/>
    </row>
    <row r="110" spans="1:11" x14ac:dyDescent="0.35">
      <c r="A110" s="1" t="s">
        <v>730</v>
      </c>
      <c r="G110"/>
    </row>
    <row r="111" spans="1:11" x14ac:dyDescent="0.35">
      <c r="A111" s="5" t="s">
        <v>18</v>
      </c>
      <c r="B111" s="5" t="s">
        <v>731</v>
      </c>
      <c r="C111" s="5" t="s">
        <v>732</v>
      </c>
      <c r="D111" s="5" t="s">
        <v>733</v>
      </c>
      <c r="G111"/>
    </row>
    <row r="112" spans="1:11" x14ac:dyDescent="0.35">
      <c r="F112" s="5" t="s">
        <v>939</v>
      </c>
      <c r="G112" t="s">
        <v>1263</v>
      </c>
      <c r="H112" s="5" t="s">
        <v>943</v>
      </c>
      <c r="I112" s="27">
        <v>1</v>
      </c>
      <c r="J112" s="28"/>
      <c r="K112" s="29"/>
    </row>
    <row r="113" spans="1:11" x14ac:dyDescent="0.35">
      <c r="F113" s="5" t="s">
        <v>940</v>
      </c>
      <c r="G113" t="s">
        <v>1264</v>
      </c>
      <c r="H113" s="5" t="s">
        <v>944</v>
      </c>
      <c r="I113" s="27">
        <v>1</v>
      </c>
      <c r="J113" s="28"/>
      <c r="K113" s="29"/>
    </row>
    <row r="114" spans="1:11" x14ac:dyDescent="0.35">
      <c r="F114" s="5" t="s">
        <v>941</v>
      </c>
      <c r="G114" t="s">
        <v>1265</v>
      </c>
      <c r="H114" s="5" t="s">
        <v>945</v>
      </c>
      <c r="I114" s="27"/>
      <c r="J114" s="28">
        <v>1</v>
      </c>
      <c r="K114" s="29"/>
    </row>
    <row r="115" spans="1:11" x14ac:dyDescent="0.35">
      <c r="F115" s="5" t="s">
        <v>942</v>
      </c>
      <c r="G115" t="s">
        <v>1266</v>
      </c>
      <c r="H115" s="5" t="s">
        <v>946</v>
      </c>
      <c r="I115" s="27">
        <v>1</v>
      </c>
      <c r="J115" s="28"/>
      <c r="K115" s="29"/>
    </row>
    <row r="116" spans="1:11" x14ac:dyDescent="0.35">
      <c r="G116"/>
      <c r="I116" s="27"/>
      <c r="J116" s="28"/>
      <c r="K116" s="29"/>
    </row>
    <row r="117" spans="1:11" x14ac:dyDescent="0.35">
      <c r="A117" s="5" t="s">
        <v>23</v>
      </c>
      <c r="B117" s="5" t="s">
        <v>734</v>
      </c>
      <c r="C117" s="5" t="s">
        <v>735</v>
      </c>
      <c r="D117" s="5" t="s">
        <v>736</v>
      </c>
      <c r="G117"/>
      <c r="I117" s="27"/>
      <c r="J117" s="28"/>
      <c r="K117" s="29"/>
    </row>
    <row r="118" spans="1:11" x14ac:dyDescent="0.35">
      <c r="F118" s="5" t="s">
        <v>947</v>
      </c>
      <c r="G118" t="s">
        <v>1267</v>
      </c>
      <c r="H118" s="5" t="s">
        <v>951</v>
      </c>
      <c r="I118" s="27">
        <v>1</v>
      </c>
      <c r="J118" s="28"/>
      <c r="K118" s="29"/>
    </row>
    <row r="119" spans="1:11" x14ac:dyDescent="0.35">
      <c r="F119" s="5" t="s">
        <v>948</v>
      </c>
      <c r="G119" t="s">
        <v>1268</v>
      </c>
      <c r="H119" s="5" t="s">
        <v>952</v>
      </c>
      <c r="I119" s="27">
        <v>1</v>
      </c>
      <c r="J119" s="28"/>
      <c r="K119" s="29"/>
    </row>
    <row r="120" spans="1:11" x14ac:dyDescent="0.35">
      <c r="F120" s="5" t="s">
        <v>949</v>
      </c>
      <c r="G120" t="s">
        <v>1269</v>
      </c>
      <c r="H120" s="5" t="s">
        <v>953</v>
      </c>
      <c r="I120" s="27">
        <v>1</v>
      </c>
      <c r="J120" s="28"/>
      <c r="K120" s="29"/>
    </row>
    <row r="121" spans="1:11" x14ac:dyDescent="0.35">
      <c r="F121" s="5" t="s">
        <v>950</v>
      </c>
      <c r="G121" t="s">
        <v>1266</v>
      </c>
      <c r="H121" s="5" t="s">
        <v>946</v>
      </c>
      <c r="I121" s="27">
        <v>1</v>
      </c>
      <c r="J121" s="28"/>
      <c r="K121" s="29"/>
    </row>
    <row r="122" spans="1:11" x14ac:dyDescent="0.35">
      <c r="A122" s="5" t="s">
        <v>28</v>
      </c>
      <c r="B122" s="5" t="s">
        <v>737</v>
      </c>
      <c r="C122" s="5" t="s">
        <v>738</v>
      </c>
      <c r="D122" s="5" t="s">
        <v>739</v>
      </c>
      <c r="G122"/>
    </row>
    <row r="123" spans="1:11" x14ac:dyDescent="0.35">
      <c r="F123" s="5" t="s">
        <v>960</v>
      </c>
      <c r="G123" t="s">
        <v>1233</v>
      </c>
      <c r="H123" s="5" t="s">
        <v>955</v>
      </c>
      <c r="I123" s="27">
        <v>1</v>
      </c>
      <c r="J123" s="28"/>
      <c r="K123" s="29"/>
    </row>
    <row r="124" spans="1:11" x14ac:dyDescent="0.35">
      <c r="F124" s="5" t="s">
        <v>961</v>
      </c>
      <c r="G124" t="s">
        <v>1270</v>
      </c>
      <c r="H124" s="5" t="s">
        <v>956</v>
      </c>
      <c r="I124" s="27">
        <v>1</v>
      </c>
      <c r="J124" s="28"/>
      <c r="K124" s="29"/>
    </row>
    <row r="125" spans="1:11" x14ac:dyDescent="0.35">
      <c r="F125" s="5" t="s">
        <v>962</v>
      </c>
      <c r="G125" t="s">
        <v>1271</v>
      </c>
      <c r="H125" s="5" t="s">
        <v>957</v>
      </c>
      <c r="I125" s="27">
        <v>1</v>
      </c>
      <c r="J125" s="28"/>
      <c r="K125" s="29"/>
    </row>
    <row r="126" spans="1:11" x14ac:dyDescent="0.35">
      <c r="F126" s="5" t="s">
        <v>963</v>
      </c>
      <c r="G126" t="s">
        <v>1272</v>
      </c>
      <c r="H126" s="5" t="s">
        <v>958</v>
      </c>
      <c r="I126" s="27">
        <v>1</v>
      </c>
      <c r="J126" s="28"/>
      <c r="K126" s="29"/>
    </row>
    <row r="127" spans="1:11" x14ac:dyDescent="0.35">
      <c r="F127" s="5" t="s">
        <v>954</v>
      </c>
      <c r="G127" t="s">
        <v>1273</v>
      </c>
      <c r="H127" s="5" t="s">
        <v>959</v>
      </c>
      <c r="I127" s="27">
        <v>1</v>
      </c>
      <c r="J127" s="28"/>
      <c r="K127" s="29"/>
    </row>
    <row r="128" spans="1:11" x14ac:dyDescent="0.35">
      <c r="A128" s="5" t="s">
        <v>45</v>
      </c>
      <c r="B128" s="5" t="s">
        <v>740</v>
      </c>
      <c r="C128" s="5" t="s">
        <v>741</v>
      </c>
      <c r="D128" s="5" t="s">
        <v>742</v>
      </c>
      <c r="G128"/>
    </row>
    <row r="129" spans="1:11" x14ac:dyDescent="0.35">
      <c r="F129" s="5" t="s">
        <v>964</v>
      </c>
      <c r="G129" t="s">
        <v>1274</v>
      </c>
      <c r="H129" s="5" t="s">
        <v>971</v>
      </c>
      <c r="I129" s="27">
        <v>1</v>
      </c>
      <c r="J129" s="28"/>
      <c r="K129" s="29"/>
    </row>
    <row r="130" spans="1:11" x14ac:dyDescent="0.35">
      <c r="F130" s="5" t="s">
        <v>965</v>
      </c>
      <c r="G130" t="s">
        <v>1275</v>
      </c>
      <c r="H130" s="5" t="s">
        <v>972</v>
      </c>
      <c r="I130" s="27">
        <v>1</v>
      </c>
      <c r="J130" s="28"/>
      <c r="K130" s="29"/>
    </row>
    <row r="131" spans="1:11" x14ac:dyDescent="0.35">
      <c r="F131" s="5" t="s">
        <v>966</v>
      </c>
      <c r="G131" t="s">
        <v>1276</v>
      </c>
      <c r="H131" s="5" t="s">
        <v>973</v>
      </c>
      <c r="I131" s="27">
        <v>1</v>
      </c>
      <c r="J131" s="28"/>
      <c r="K131" s="29"/>
    </row>
    <row r="132" spans="1:11" x14ac:dyDescent="0.35">
      <c r="F132" s="5" t="s">
        <v>967</v>
      </c>
      <c r="G132" t="s">
        <v>1277</v>
      </c>
      <c r="H132" s="5" t="s">
        <v>974</v>
      </c>
      <c r="I132" s="27">
        <v>1</v>
      </c>
      <c r="J132" s="28"/>
      <c r="K132" s="29"/>
    </row>
    <row r="133" spans="1:11" x14ac:dyDescent="0.35">
      <c r="F133" s="5" t="s">
        <v>968</v>
      </c>
      <c r="G133" t="s">
        <v>1278</v>
      </c>
      <c r="H133" s="5" t="s">
        <v>975</v>
      </c>
      <c r="I133" s="27">
        <v>1</v>
      </c>
      <c r="J133" s="28"/>
      <c r="K133" s="29"/>
    </row>
    <row r="134" spans="1:11" x14ac:dyDescent="0.35">
      <c r="F134" s="5" t="s">
        <v>969</v>
      </c>
      <c r="G134" t="s">
        <v>1279</v>
      </c>
      <c r="H134" s="5" t="s">
        <v>976</v>
      </c>
      <c r="I134" s="27">
        <v>1</v>
      </c>
      <c r="J134" s="28"/>
      <c r="K134" s="29"/>
    </row>
    <row r="135" spans="1:11" x14ac:dyDescent="0.35">
      <c r="F135" s="5" t="s">
        <v>970</v>
      </c>
      <c r="G135" t="s">
        <v>1363</v>
      </c>
      <c r="H135" s="5">
        <v>37174913</v>
      </c>
      <c r="I135" s="27"/>
      <c r="J135" s="28">
        <v>1</v>
      </c>
      <c r="K135" s="29"/>
    </row>
    <row r="136" spans="1:11" x14ac:dyDescent="0.35">
      <c r="A136" s="5" t="s">
        <v>71</v>
      </c>
      <c r="B136" s="5" t="s">
        <v>691</v>
      </c>
      <c r="C136" s="5" t="s">
        <v>692</v>
      </c>
      <c r="D136" s="5" t="s">
        <v>693</v>
      </c>
      <c r="G136"/>
    </row>
    <row r="137" spans="1:11" x14ac:dyDescent="0.35">
      <c r="E137" s="5">
        <v>5</v>
      </c>
      <c r="F137" s="5" t="s">
        <v>694</v>
      </c>
      <c r="G137" t="s">
        <v>1218</v>
      </c>
      <c r="H137" s="5">
        <v>45879118</v>
      </c>
      <c r="I137" s="27">
        <v>1</v>
      </c>
      <c r="J137" s="28"/>
      <c r="K137" s="29"/>
    </row>
    <row r="138" spans="1:11" x14ac:dyDescent="0.35">
      <c r="E138" s="5">
        <v>4</v>
      </c>
      <c r="F138" s="5" t="s">
        <v>695</v>
      </c>
      <c r="G138" t="s">
        <v>1219</v>
      </c>
      <c r="H138" s="5">
        <v>45878070</v>
      </c>
      <c r="I138" s="27">
        <v>1</v>
      </c>
      <c r="J138" s="28"/>
      <c r="K138" s="29"/>
    </row>
    <row r="139" spans="1:11" x14ac:dyDescent="0.35">
      <c r="E139" s="5">
        <v>3</v>
      </c>
      <c r="F139" s="5" t="s">
        <v>696</v>
      </c>
      <c r="G139" t="s">
        <v>1220</v>
      </c>
      <c r="H139" s="5">
        <v>45884554</v>
      </c>
      <c r="I139" s="27">
        <v>1</v>
      </c>
      <c r="J139" s="28"/>
      <c r="K139" s="29"/>
    </row>
    <row r="140" spans="1:11" x14ac:dyDescent="0.35">
      <c r="E140" s="5">
        <v>2</v>
      </c>
      <c r="F140" s="5" t="s">
        <v>679</v>
      </c>
      <c r="G140" t="s">
        <v>1213</v>
      </c>
      <c r="H140" s="5">
        <v>45876949</v>
      </c>
      <c r="I140" s="27">
        <v>1</v>
      </c>
      <c r="J140" s="28"/>
      <c r="K140" s="29"/>
    </row>
    <row r="141" spans="1:11" x14ac:dyDescent="0.35">
      <c r="E141" s="5">
        <v>1</v>
      </c>
      <c r="F141" s="5" t="s">
        <v>678</v>
      </c>
      <c r="G141" t="s">
        <v>1212</v>
      </c>
      <c r="H141" s="5">
        <v>45883172</v>
      </c>
      <c r="I141" s="27">
        <v>1</v>
      </c>
      <c r="J141" s="28"/>
      <c r="K141" s="29"/>
    </row>
    <row r="142" spans="1:11" x14ac:dyDescent="0.35">
      <c r="A142" s="5" t="s">
        <v>743</v>
      </c>
      <c r="B142" s="5" t="s">
        <v>744</v>
      </c>
      <c r="C142" s="5" t="s">
        <v>745</v>
      </c>
      <c r="D142" s="5" t="s">
        <v>746</v>
      </c>
      <c r="G142"/>
    </row>
    <row r="143" spans="1:11" x14ac:dyDescent="0.35">
      <c r="E143" s="5">
        <v>5</v>
      </c>
      <c r="F143" s="5" t="s">
        <v>977</v>
      </c>
      <c r="G143" t="s">
        <v>1280</v>
      </c>
      <c r="H143" s="5" t="s">
        <v>982</v>
      </c>
      <c r="I143" s="27">
        <v>1</v>
      </c>
      <c r="J143" s="28"/>
      <c r="K143" s="29"/>
    </row>
    <row r="144" spans="1:11" x14ac:dyDescent="0.35">
      <c r="E144" s="5">
        <v>4</v>
      </c>
      <c r="F144" s="5" t="s">
        <v>978</v>
      </c>
      <c r="G144" t="s">
        <v>1281</v>
      </c>
      <c r="H144" s="5" t="s">
        <v>983</v>
      </c>
      <c r="I144" s="27">
        <v>1</v>
      </c>
      <c r="J144" s="28"/>
      <c r="K144" s="29"/>
    </row>
    <row r="145" spans="1:11" x14ac:dyDescent="0.35">
      <c r="E145" s="5">
        <v>3</v>
      </c>
      <c r="F145" s="5" t="s">
        <v>979</v>
      </c>
      <c r="G145" t="s">
        <v>1282</v>
      </c>
      <c r="H145" s="5" t="s">
        <v>984</v>
      </c>
      <c r="I145" s="27">
        <v>1</v>
      </c>
      <c r="J145" s="28"/>
      <c r="K145" s="29"/>
    </row>
    <row r="146" spans="1:11" x14ac:dyDescent="0.35">
      <c r="E146" s="5">
        <v>2</v>
      </c>
      <c r="F146" s="5" t="s">
        <v>980</v>
      </c>
      <c r="G146" t="s">
        <v>1283</v>
      </c>
      <c r="H146" s="5" t="s">
        <v>985</v>
      </c>
      <c r="I146" s="27">
        <v>1</v>
      </c>
      <c r="J146" s="28"/>
      <c r="K146" s="29"/>
    </row>
    <row r="147" spans="1:11" x14ac:dyDescent="0.35">
      <c r="E147" s="5">
        <v>1</v>
      </c>
      <c r="F147" s="5" t="s">
        <v>981</v>
      </c>
      <c r="G147" t="s">
        <v>1284</v>
      </c>
      <c r="H147" s="5" t="s">
        <v>986</v>
      </c>
      <c r="I147" s="27">
        <v>1</v>
      </c>
      <c r="J147" s="28"/>
      <c r="K147" s="29"/>
    </row>
    <row r="148" spans="1:11" x14ac:dyDescent="0.35">
      <c r="A148" s="5" t="s">
        <v>747</v>
      </c>
      <c r="B148" s="5" t="s">
        <v>748</v>
      </c>
      <c r="C148" s="5" t="s">
        <v>749</v>
      </c>
      <c r="D148" s="5" t="s">
        <v>750</v>
      </c>
      <c r="G148"/>
    </row>
    <row r="149" spans="1:11" x14ac:dyDescent="0.35">
      <c r="E149" s="5">
        <v>5</v>
      </c>
      <c r="F149" s="5" t="s">
        <v>987</v>
      </c>
      <c r="G149" t="s">
        <v>1221</v>
      </c>
      <c r="H149" s="5" t="s">
        <v>992</v>
      </c>
      <c r="I149" s="27">
        <v>1</v>
      </c>
      <c r="J149" s="28"/>
      <c r="K149" s="29"/>
    </row>
    <row r="150" spans="1:11" x14ac:dyDescent="0.35">
      <c r="E150" s="5">
        <v>4</v>
      </c>
      <c r="F150" s="5" t="s">
        <v>988</v>
      </c>
      <c r="G150" t="s">
        <v>1222</v>
      </c>
      <c r="H150" s="5" t="s">
        <v>993</v>
      </c>
      <c r="I150" s="27">
        <v>1</v>
      </c>
      <c r="J150" s="28"/>
      <c r="K150" s="29"/>
    </row>
    <row r="151" spans="1:11" x14ac:dyDescent="0.35">
      <c r="E151" s="5">
        <v>3</v>
      </c>
      <c r="F151" s="5" t="s">
        <v>989</v>
      </c>
      <c r="G151" t="s">
        <v>1223</v>
      </c>
      <c r="H151" s="5" t="s">
        <v>994</v>
      </c>
      <c r="I151" s="27">
        <v>1</v>
      </c>
      <c r="J151" s="28"/>
      <c r="K151" s="29"/>
    </row>
    <row r="152" spans="1:11" x14ac:dyDescent="0.35">
      <c r="E152" s="5">
        <v>2</v>
      </c>
      <c r="F152" s="5" t="s">
        <v>990</v>
      </c>
      <c r="G152" t="s">
        <v>1225</v>
      </c>
      <c r="H152" s="5" t="s">
        <v>995</v>
      </c>
      <c r="I152" s="27">
        <v>1</v>
      </c>
      <c r="J152" s="28"/>
      <c r="K152" s="29"/>
    </row>
    <row r="153" spans="1:11" x14ac:dyDescent="0.35">
      <c r="E153" s="5">
        <v>1</v>
      </c>
      <c r="F153" s="5" t="s">
        <v>991</v>
      </c>
      <c r="G153" t="s">
        <v>1226</v>
      </c>
      <c r="H153" s="5" t="s">
        <v>996</v>
      </c>
      <c r="I153" s="27">
        <v>1</v>
      </c>
      <c r="J153" s="28"/>
      <c r="K153" s="29"/>
    </row>
    <row r="154" spans="1:11" x14ac:dyDescent="0.35">
      <c r="A154" s="5" t="s">
        <v>751</v>
      </c>
      <c r="B154" s="5" t="s">
        <v>752</v>
      </c>
      <c r="C154" s="5" t="s">
        <v>753</v>
      </c>
      <c r="D154" s="5" t="s">
        <v>754</v>
      </c>
      <c r="G154"/>
    </row>
    <row r="155" spans="1:11" x14ac:dyDescent="0.35">
      <c r="E155" s="5">
        <v>5</v>
      </c>
      <c r="F155" s="5" t="s">
        <v>997</v>
      </c>
      <c r="G155" t="s">
        <v>1212</v>
      </c>
      <c r="H155" s="5" t="s">
        <v>1001</v>
      </c>
      <c r="I155" s="27">
        <v>1</v>
      </c>
      <c r="J155" s="28"/>
      <c r="K155" s="29"/>
    </row>
    <row r="156" spans="1:11" x14ac:dyDescent="0.35">
      <c r="E156" s="5">
        <v>4</v>
      </c>
      <c r="F156" s="5" t="s">
        <v>998</v>
      </c>
      <c r="G156" t="s">
        <v>1216</v>
      </c>
      <c r="H156" s="5" t="s">
        <v>1002</v>
      </c>
      <c r="I156" s="27">
        <v>1</v>
      </c>
      <c r="J156" s="28"/>
      <c r="K156" s="29"/>
    </row>
    <row r="157" spans="1:11" x14ac:dyDescent="0.35">
      <c r="E157" s="5">
        <v>3</v>
      </c>
      <c r="F157" s="5" t="s">
        <v>687</v>
      </c>
      <c r="G157" t="s">
        <v>1217</v>
      </c>
      <c r="H157" s="5" t="s">
        <v>1003</v>
      </c>
      <c r="I157" s="27">
        <v>1</v>
      </c>
      <c r="J157" s="28"/>
      <c r="K157" s="29"/>
    </row>
    <row r="158" spans="1:11" x14ac:dyDescent="0.35">
      <c r="E158" s="5">
        <v>2</v>
      </c>
      <c r="F158" s="5" t="s">
        <v>999</v>
      </c>
      <c r="G158" t="s">
        <v>1214</v>
      </c>
      <c r="H158" s="5" t="s">
        <v>1004</v>
      </c>
      <c r="I158" s="27">
        <v>1</v>
      </c>
      <c r="J158" s="28"/>
      <c r="K158" s="29"/>
    </row>
    <row r="159" spans="1:11" x14ac:dyDescent="0.35">
      <c r="E159" s="5">
        <v>1</v>
      </c>
      <c r="F159" s="5" t="s">
        <v>1000</v>
      </c>
      <c r="G159" t="s">
        <v>1215</v>
      </c>
      <c r="H159" s="5" t="s">
        <v>1005</v>
      </c>
      <c r="I159" s="27">
        <v>1</v>
      </c>
      <c r="J159" s="28"/>
      <c r="K159" s="29"/>
    </row>
    <row r="160" spans="1:11" x14ac:dyDescent="0.35">
      <c r="A160" s="5" t="s">
        <v>755</v>
      </c>
      <c r="B160" s="5" t="s">
        <v>756</v>
      </c>
      <c r="C160" s="5" t="s">
        <v>757</v>
      </c>
      <c r="D160" s="5" t="s">
        <v>758</v>
      </c>
      <c r="G160"/>
    </row>
    <row r="161" spans="1:11" x14ac:dyDescent="0.35">
      <c r="E161" s="5">
        <v>0</v>
      </c>
      <c r="F161" s="5" t="s">
        <v>885</v>
      </c>
      <c r="G161" t="s">
        <v>1232</v>
      </c>
      <c r="H161" s="5" t="s">
        <v>1009</v>
      </c>
      <c r="I161" s="27">
        <v>1</v>
      </c>
      <c r="J161" s="28"/>
      <c r="K161" s="29"/>
    </row>
    <row r="162" spans="1:11" x14ac:dyDescent="0.35">
      <c r="E162" s="5">
        <v>1</v>
      </c>
      <c r="F162" s="5" t="s">
        <v>1006</v>
      </c>
      <c r="G162" t="s">
        <v>1285</v>
      </c>
      <c r="H162" s="5" t="s">
        <v>1010</v>
      </c>
      <c r="I162" s="27">
        <v>1</v>
      </c>
      <c r="J162" s="28"/>
      <c r="K162" s="29"/>
    </row>
    <row r="163" spans="1:11" x14ac:dyDescent="0.35">
      <c r="E163" s="5">
        <v>2</v>
      </c>
      <c r="F163" s="5" t="s">
        <v>1007</v>
      </c>
      <c r="G163" t="s">
        <v>1286</v>
      </c>
      <c r="H163" s="5" t="s">
        <v>1011</v>
      </c>
      <c r="I163" s="27">
        <v>1</v>
      </c>
      <c r="J163" s="28"/>
      <c r="K163" s="29"/>
    </row>
    <row r="164" spans="1:11" x14ac:dyDescent="0.35">
      <c r="E164" s="5">
        <v>3</v>
      </c>
      <c r="F164" s="5" t="s">
        <v>1008</v>
      </c>
      <c r="G164" t="s">
        <v>1287</v>
      </c>
      <c r="H164" s="5" t="s">
        <v>1012</v>
      </c>
      <c r="I164" s="27">
        <v>1</v>
      </c>
      <c r="J164" s="28"/>
      <c r="K164" s="29"/>
    </row>
    <row r="165" spans="1:11" x14ac:dyDescent="0.35">
      <c r="A165" s="5" t="s">
        <v>759</v>
      </c>
      <c r="B165" s="5" t="s">
        <v>760</v>
      </c>
      <c r="C165" s="5" t="s">
        <v>761</v>
      </c>
      <c r="D165" s="5" t="s">
        <v>762</v>
      </c>
      <c r="G165"/>
    </row>
    <row r="166" spans="1:11" x14ac:dyDescent="0.35">
      <c r="E166" s="5">
        <v>0</v>
      </c>
      <c r="F166" s="5" t="s">
        <v>1013</v>
      </c>
      <c r="G166" t="s">
        <v>1212</v>
      </c>
      <c r="H166" s="5" t="s">
        <v>1001</v>
      </c>
      <c r="I166" s="27">
        <v>1</v>
      </c>
      <c r="J166" s="28"/>
      <c r="K166" s="29"/>
    </row>
    <row r="167" spans="1:11" x14ac:dyDescent="0.35">
      <c r="E167" s="5">
        <v>1</v>
      </c>
      <c r="F167" s="5" t="s">
        <v>1006</v>
      </c>
      <c r="G167" t="s">
        <v>1285</v>
      </c>
      <c r="H167" s="5" t="s">
        <v>1010</v>
      </c>
      <c r="I167" s="27">
        <v>1</v>
      </c>
      <c r="J167" s="28"/>
      <c r="K167" s="29"/>
    </row>
    <row r="168" spans="1:11" x14ac:dyDescent="0.35">
      <c r="E168" s="5">
        <v>2</v>
      </c>
      <c r="F168" s="5" t="s">
        <v>1007</v>
      </c>
      <c r="G168" t="s">
        <v>1286</v>
      </c>
      <c r="H168" s="5" t="s">
        <v>1011</v>
      </c>
      <c r="I168" s="27">
        <v>1</v>
      </c>
      <c r="J168" s="28"/>
      <c r="K168" s="29"/>
    </row>
    <row r="169" spans="1:11" x14ac:dyDescent="0.35">
      <c r="E169" s="5">
        <v>3</v>
      </c>
      <c r="F169" s="5" t="s">
        <v>1008</v>
      </c>
      <c r="G169" t="s">
        <v>1287</v>
      </c>
      <c r="H169" s="5" t="s">
        <v>1012</v>
      </c>
      <c r="I169" s="27">
        <v>1</v>
      </c>
      <c r="J169" s="28"/>
      <c r="K169" s="29"/>
    </row>
    <row r="170" spans="1:11" x14ac:dyDescent="0.35">
      <c r="A170" s="5" t="s">
        <v>763</v>
      </c>
      <c r="B170" s="5" t="s">
        <v>764</v>
      </c>
      <c r="C170" s="5" t="s">
        <v>765</v>
      </c>
      <c r="D170" s="5" t="s">
        <v>766</v>
      </c>
      <c r="G170"/>
    </row>
    <row r="171" spans="1:11" x14ac:dyDescent="0.35">
      <c r="E171" s="5">
        <v>0</v>
      </c>
      <c r="F171" s="5" t="s">
        <v>1014</v>
      </c>
      <c r="G171" t="s">
        <v>1288</v>
      </c>
      <c r="H171" s="5" t="s">
        <v>1018</v>
      </c>
      <c r="I171" s="27">
        <v>1</v>
      </c>
      <c r="J171" s="28"/>
      <c r="K171" s="29"/>
    </row>
    <row r="172" spans="1:11" x14ac:dyDescent="0.35">
      <c r="E172" s="5">
        <v>1</v>
      </c>
      <c r="F172" s="5" t="s">
        <v>1015</v>
      </c>
      <c r="G172" t="s">
        <v>1289</v>
      </c>
      <c r="H172" s="5" t="s">
        <v>1019</v>
      </c>
      <c r="I172" s="27">
        <v>1</v>
      </c>
      <c r="J172" s="28"/>
      <c r="K172" s="29"/>
    </row>
    <row r="173" spans="1:11" x14ac:dyDescent="0.35">
      <c r="E173" s="5">
        <v>2</v>
      </c>
      <c r="F173" s="5" t="s">
        <v>1016</v>
      </c>
      <c r="G173" t="s">
        <v>1290</v>
      </c>
      <c r="H173" s="5" t="s">
        <v>1020</v>
      </c>
      <c r="I173" s="27">
        <v>1</v>
      </c>
      <c r="J173" s="28"/>
      <c r="K173" s="29"/>
    </row>
    <row r="174" spans="1:11" x14ac:dyDescent="0.35">
      <c r="E174" s="5">
        <v>3</v>
      </c>
      <c r="F174" s="5" t="s">
        <v>1017</v>
      </c>
      <c r="G174" t="s">
        <v>1291</v>
      </c>
      <c r="H174" s="5" t="s">
        <v>1021</v>
      </c>
      <c r="I174" s="27">
        <v>1</v>
      </c>
      <c r="J174" s="28"/>
      <c r="K174" s="29"/>
    </row>
    <row r="175" spans="1:11" x14ac:dyDescent="0.35">
      <c r="A175" s="5" t="s">
        <v>767</v>
      </c>
      <c r="B175" s="5" t="s">
        <v>768</v>
      </c>
      <c r="C175" s="5" t="s">
        <v>769</v>
      </c>
      <c r="D175" s="5" t="s">
        <v>770</v>
      </c>
      <c r="G175"/>
    </row>
    <row r="176" spans="1:11" x14ac:dyDescent="0.35">
      <c r="E176" s="5">
        <v>0</v>
      </c>
      <c r="F176" s="5" t="s">
        <v>1022</v>
      </c>
      <c r="G176" t="s">
        <v>1227</v>
      </c>
      <c r="H176" s="5" t="s">
        <v>1023</v>
      </c>
      <c r="I176" s="27">
        <v>1</v>
      </c>
      <c r="J176" s="28"/>
      <c r="K176" s="29"/>
    </row>
    <row r="177" spans="1:11" x14ac:dyDescent="0.35">
      <c r="E177" s="5">
        <v>1</v>
      </c>
      <c r="F177" s="5" t="s">
        <v>991</v>
      </c>
      <c r="G177" t="s">
        <v>1226</v>
      </c>
      <c r="H177" s="5" t="s">
        <v>996</v>
      </c>
      <c r="I177" s="27">
        <v>1</v>
      </c>
      <c r="J177" s="28"/>
      <c r="K177" s="29"/>
    </row>
    <row r="178" spans="1:11" x14ac:dyDescent="0.35">
      <c r="E178" s="5">
        <v>2</v>
      </c>
      <c r="F178" s="5" t="s">
        <v>990</v>
      </c>
      <c r="G178" t="s">
        <v>1225</v>
      </c>
      <c r="H178" s="5" t="s">
        <v>995</v>
      </c>
      <c r="I178" s="27">
        <v>1</v>
      </c>
      <c r="J178" s="28"/>
      <c r="K178" s="29"/>
    </row>
    <row r="179" spans="1:11" x14ac:dyDescent="0.35">
      <c r="E179" s="5">
        <v>3</v>
      </c>
      <c r="F179" s="5" t="s">
        <v>881</v>
      </c>
      <c r="G179" t="s">
        <v>1230</v>
      </c>
      <c r="H179" s="5" t="s">
        <v>1024</v>
      </c>
      <c r="I179" s="27">
        <v>1</v>
      </c>
      <c r="J179" s="28"/>
      <c r="K179" s="29"/>
    </row>
    <row r="180" spans="1:11" x14ac:dyDescent="0.35">
      <c r="E180" s="5">
        <v>4</v>
      </c>
      <c r="F180" s="5" t="s">
        <v>988</v>
      </c>
      <c r="G180" t="s">
        <v>1222</v>
      </c>
      <c r="H180" s="5" t="s">
        <v>993</v>
      </c>
      <c r="I180" s="27">
        <v>1</v>
      </c>
      <c r="J180" s="28"/>
      <c r="K180" s="29"/>
    </row>
    <row r="181" spans="1:11" x14ac:dyDescent="0.35">
      <c r="A181" s="1" t="s">
        <v>771</v>
      </c>
      <c r="G181"/>
    </row>
    <row r="182" spans="1:11" x14ac:dyDescent="0.35">
      <c r="A182" s="5" t="s">
        <v>772</v>
      </c>
      <c r="B182" s="5" t="s">
        <v>773</v>
      </c>
      <c r="C182" s="5" t="s">
        <v>774</v>
      </c>
      <c r="D182" s="5" t="s">
        <v>195</v>
      </c>
      <c r="G182"/>
    </row>
    <row r="183" spans="1:11" x14ac:dyDescent="0.35">
      <c r="F183" s="5" t="s">
        <v>1025</v>
      </c>
      <c r="G183" t="s">
        <v>1292</v>
      </c>
      <c r="H183" s="5">
        <v>4027003</v>
      </c>
      <c r="I183" s="27"/>
      <c r="J183" s="28">
        <v>1</v>
      </c>
      <c r="K183" s="29"/>
    </row>
    <row r="184" spans="1:11" x14ac:dyDescent="0.35">
      <c r="F184" s="5" t="s">
        <v>1025</v>
      </c>
      <c r="G184" t="s">
        <v>1293</v>
      </c>
      <c r="H184" s="5">
        <v>4198096</v>
      </c>
      <c r="I184" s="27"/>
      <c r="J184" s="28">
        <v>1</v>
      </c>
      <c r="K184" s="29"/>
    </row>
    <row r="185" spans="1:11" x14ac:dyDescent="0.35">
      <c r="F185" s="5" t="s">
        <v>1026</v>
      </c>
      <c r="G185" t="s">
        <v>1294</v>
      </c>
      <c r="H185" s="5" t="s">
        <v>1029</v>
      </c>
      <c r="I185" s="27"/>
      <c r="J185" s="28">
        <v>1</v>
      </c>
      <c r="K185" s="29"/>
    </row>
    <row r="186" spans="1:11" x14ac:dyDescent="0.35">
      <c r="F186" s="5" t="s">
        <v>1027</v>
      </c>
      <c r="G186" t="s">
        <v>1295</v>
      </c>
      <c r="H186" s="5" t="s">
        <v>1030</v>
      </c>
      <c r="I186" s="27"/>
      <c r="J186" s="28">
        <v>1</v>
      </c>
      <c r="K186" s="29"/>
    </row>
    <row r="187" spans="1:11" x14ac:dyDescent="0.35">
      <c r="F187" s="5" t="s">
        <v>1028</v>
      </c>
      <c r="G187" t="s">
        <v>1296</v>
      </c>
      <c r="H187" s="5" t="s">
        <v>1031</v>
      </c>
      <c r="I187" s="27"/>
      <c r="J187" s="28">
        <v>1</v>
      </c>
      <c r="K187" s="29"/>
    </row>
    <row r="188" spans="1:11" x14ac:dyDescent="0.35">
      <c r="A188" s="5" t="s">
        <v>775</v>
      </c>
      <c r="B188" s="5" t="s">
        <v>776</v>
      </c>
      <c r="C188" s="5" t="s">
        <v>777</v>
      </c>
      <c r="D188" s="5" t="s">
        <v>198</v>
      </c>
      <c r="G188"/>
    </row>
    <row r="189" spans="1:11" x14ac:dyDescent="0.35">
      <c r="F189" s="5" t="s">
        <v>1032</v>
      </c>
      <c r="G189" t="s">
        <v>1297</v>
      </c>
      <c r="H189" s="5" t="s">
        <v>1036</v>
      </c>
      <c r="I189" s="27">
        <v>1</v>
      </c>
      <c r="J189" s="28"/>
      <c r="K189" s="29"/>
    </row>
    <row r="190" spans="1:11" x14ac:dyDescent="0.35">
      <c r="F190" s="5" t="s">
        <v>1033</v>
      </c>
      <c r="G190" t="s">
        <v>1298</v>
      </c>
      <c r="H190" s="5" t="s">
        <v>1037</v>
      </c>
      <c r="I190" s="27">
        <v>1</v>
      </c>
      <c r="J190" s="28"/>
      <c r="K190" s="29"/>
    </row>
    <row r="191" spans="1:11" x14ac:dyDescent="0.35">
      <c r="F191" s="5" t="s">
        <v>1034</v>
      </c>
      <c r="G191" t="s">
        <v>1299</v>
      </c>
      <c r="H191" s="5" t="s">
        <v>1038</v>
      </c>
      <c r="I191" s="27">
        <v>1</v>
      </c>
      <c r="J191" s="28"/>
      <c r="K191" s="29"/>
    </row>
    <row r="192" spans="1:11" x14ac:dyDescent="0.35">
      <c r="F192" s="5" t="s">
        <v>1035</v>
      </c>
      <c r="G192" t="s">
        <v>1232</v>
      </c>
      <c r="H192" s="5" t="s">
        <v>1009</v>
      </c>
      <c r="I192" s="27">
        <v>1</v>
      </c>
      <c r="J192" s="28"/>
      <c r="K192" s="29"/>
    </row>
    <row r="193" spans="1:11" x14ac:dyDescent="0.35">
      <c r="A193" s="5" t="s">
        <v>778</v>
      </c>
      <c r="B193" s="5" t="s">
        <v>779</v>
      </c>
      <c r="C193" s="5" t="s">
        <v>780</v>
      </c>
      <c r="D193" s="5" t="s">
        <v>781</v>
      </c>
      <c r="G193"/>
    </row>
    <row r="194" spans="1:11" x14ac:dyDescent="0.35">
      <c r="E194" s="5">
        <v>0</v>
      </c>
      <c r="F194" s="5" t="s">
        <v>1039</v>
      </c>
      <c r="G194" t="s">
        <v>1232</v>
      </c>
      <c r="H194" s="5" t="s">
        <v>1009</v>
      </c>
      <c r="I194" s="27">
        <v>1</v>
      </c>
      <c r="J194" s="28"/>
      <c r="K194" s="29"/>
    </row>
    <row r="195" spans="1:11" x14ac:dyDescent="0.35">
      <c r="E195" s="5">
        <v>1</v>
      </c>
      <c r="F195" s="5" t="s">
        <v>1040</v>
      </c>
      <c r="G195" t="s">
        <v>1300</v>
      </c>
      <c r="H195" s="5" t="s">
        <v>1043</v>
      </c>
      <c r="I195" s="27">
        <v>1</v>
      </c>
      <c r="J195" s="28"/>
      <c r="K195" s="29"/>
    </row>
    <row r="196" spans="1:11" x14ac:dyDescent="0.35">
      <c r="E196" s="5">
        <v>2</v>
      </c>
      <c r="F196" s="5" t="s">
        <v>1041</v>
      </c>
      <c r="G196" t="s">
        <v>1301</v>
      </c>
      <c r="H196" s="5" t="s">
        <v>1044</v>
      </c>
      <c r="I196" s="27">
        <v>1</v>
      </c>
      <c r="J196" s="28"/>
      <c r="K196" s="29"/>
    </row>
    <row r="197" spans="1:11" x14ac:dyDescent="0.35">
      <c r="E197" s="5">
        <v>3</v>
      </c>
      <c r="F197" s="5" t="s">
        <v>1042</v>
      </c>
      <c r="G197" t="s">
        <v>1302</v>
      </c>
      <c r="H197" s="5" t="s">
        <v>1045</v>
      </c>
      <c r="I197" s="27">
        <v>1</v>
      </c>
      <c r="J197" s="28"/>
      <c r="K197" s="29"/>
    </row>
    <row r="198" spans="1:11" x14ac:dyDescent="0.35">
      <c r="A198" s="5" t="s">
        <v>782</v>
      </c>
      <c r="B198" s="5" t="s">
        <v>783</v>
      </c>
      <c r="C198" s="5" t="s">
        <v>784</v>
      </c>
      <c r="D198" s="5" t="s">
        <v>255</v>
      </c>
      <c r="G198"/>
    </row>
    <row r="199" spans="1:11" x14ac:dyDescent="0.35">
      <c r="F199" s="5" t="s">
        <v>1046</v>
      </c>
      <c r="G199" t="s">
        <v>1303</v>
      </c>
      <c r="H199" s="5" t="s">
        <v>1053</v>
      </c>
      <c r="I199" s="27">
        <v>1</v>
      </c>
      <c r="J199" s="28"/>
      <c r="K199" s="29"/>
    </row>
    <row r="200" spans="1:11" x14ac:dyDescent="0.35">
      <c r="F200" s="5" t="s">
        <v>1047</v>
      </c>
      <c r="G200" t="s">
        <v>1304</v>
      </c>
      <c r="H200" s="5" t="s">
        <v>1054</v>
      </c>
      <c r="I200" s="27">
        <v>1</v>
      </c>
      <c r="J200" s="28"/>
      <c r="K200" s="29"/>
    </row>
    <row r="201" spans="1:11" x14ac:dyDescent="0.35">
      <c r="F201" s="5" t="s">
        <v>1048</v>
      </c>
      <c r="G201" t="s">
        <v>1305</v>
      </c>
      <c r="H201" s="5" t="s">
        <v>1055</v>
      </c>
      <c r="I201" s="27">
        <v>1</v>
      </c>
      <c r="J201" s="28"/>
      <c r="K201" s="29"/>
    </row>
    <row r="202" spans="1:11" x14ac:dyDescent="0.35">
      <c r="F202" s="5" t="s">
        <v>1049</v>
      </c>
      <c r="G202" t="s">
        <v>1306</v>
      </c>
      <c r="H202" s="5" t="s">
        <v>1056</v>
      </c>
      <c r="I202" s="27">
        <v>1</v>
      </c>
      <c r="J202" s="28"/>
      <c r="K202" s="29"/>
    </row>
    <row r="203" spans="1:11" x14ac:dyDescent="0.35">
      <c r="F203" s="5" t="s">
        <v>1050</v>
      </c>
      <c r="G203" t="s">
        <v>1307</v>
      </c>
      <c r="H203" s="5" t="s">
        <v>1057</v>
      </c>
      <c r="I203" s="27">
        <v>1</v>
      </c>
      <c r="J203" s="28"/>
      <c r="K203" s="29"/>
    </row>
    <row r="204" spans="1:11" x14ac:dyDescent="0.35">
      <c r="F204" s="5" t="s">
        <v>1051</v>
      </c>
      <c r="G204" t="s">
        <v>1308</v>
      </c>
      <c r="H204" s="5" t="s">
        <v>1058</v>
      </c>
      <c r="I204" s="27">
        <v>1</v>
      </c>
      <c r="J204" s="28"/>
      <c r="K204" s="29"/>
    </row>
    <row r="205" spans="1:11" x14ac:dyDescent="0.35">
      <c r="F205" s="5" t="s">
        <v>1052</v>
      </c>
      <c r="G205" t="s">
        <v>1309</v>
      </c>
      <c r="H205" s="5" t="s">
        <v>1059</v>
      </c>
      <c r="I205" s="27">
        <v>1</v>
      </c>
      <c r="J205" s="28"/>
      <c r="K205" s="29"/>
    </row>
    <row r="206" spans="1:11" x14ac:dyDescent="0.35">
      <c r="A206" s="5" t="s">
        <v>785</v>
      </c>
      <c r="B206" s="5" t="s">
        <v>786</v>
      </c>
      <c r="C206" s="5" t="s">
        <v>787</v>
      </c>
      <c r="D206" s="5" t="s">
        <v>788</v>
      </c>
      <c r="G206"/>
    </row>
    <row r="207" spans="1:11" x14ac:dyDescent="0.35">
      <c r="E207" s="5">
        <v>1</v>
      </c>
      <c r="F207" s="5" t="s">
        <v>1370</v>
      </c>
      <c r="G207" t="s">
        <v>1310</v>
      </c>
      <c r="H207" s="5">
        <v>1620714</v>
      </c>
      <c r="I207" s="27"/>
      <c r="J207" s="28">
        <v>1</v>
      </c>
      <c r="K207" s="29"/>
    </row>
    <row r="208" spans="1:11" x14ac:dyDescent="0.35">
      <c r="E208" s="5">
        <v>2</v>
      </c>
      <c r="F208" s="5" t="s">
        <v>1369</v>
      </c>
      <c r="G208" t="s">
        <v>1311</v>
      </c>
      <c r="H208" s="5">
        <v>45884084</v>
      </c>
      <c r="I208" s="27"/>
      <c r="J208" s="28">
        <v>1</v>
      </c>
      <c r="K208" s="29"/>
    </row>
    <row r="209" spans="1:11" x14ac:dyDescent="0.35">
      <c r="E209" s="5">
        <v>3</v>
      </c>
      <c r="F209" s="5" t="s">
        <v>1368</v>
      </c>
      <c r="G209" t="s">
        <v>1312</v>
      </c>
      <c r="H209" s="5">
        <v>1621208</v>
      </c>
      <c r="I209" s="27"/>
      <c r="J209" s="28">
        <v>1</v>
      </c>
      <c r="K209" s="29"/>
    </row>
    <row r="210" spans="1:11" x14ac:dyDescent="0.35">
      <c r="E210" s="5">
        <v>4</v>
      </c>
      <c r="F210" s="5" t="s">
        <v>1367</v>
      </c>
      <c r="G210" t="s">
        <v>1313</v>
      </c>
      <c r="H210" s="5">
        <v>45884091</v>
      </c>
      <c r="I210" s="27"/>
      <c r="J210" s="28">
        <v>1</v>
      </c>
      <c r="K210" s="29"/>
    </row>
    <row r="211" spans="1:11" x14ac:dyDescent="0.35">
      <c r="E211" s="5">
        <v>5</v>
      </c>
      <c r="F211" s="5" t="s">
        <v>1366</v>
      </c>
      <c r="G211" t="s">
        <v>1314</v>
      </c>
      <c r="H211" s="5">
        <v>1989914</v>
      </c>
      <c r="I211" s="27"/>
      <c r="J211" s="28">
        <v>1</v>
      </c>
      <c r="K211" s="29"/>
    </row>
    <row r="212" spans="1:11" x14ac:dyDescent="0.35">
      <c r="E212" s="5">
        <v>6</v>
      </c>
      <c r="F212" s="5" t="s">
        <v>1365</v>
      </c>
      <c r="G212" t="s">
        <v>1315</v>
      </c>
      <c r="H212" s="5">
        <v>45878583</v>
      </c>
      <c r="I212" s="27"/>
      <c r="J212" s="28">
        <v>1</v>
      </c>
      <c r="K212" s="29"/>
    </row>
    <row r="213" spans="1:11" x14ac:dyDescent="0.35">
      <c r="E213" s="5">
        <v>7</v>
      </c>
      <c r="F213" s="5" t="s">
        <v>1364</v>
      </c>
      <c r="G213" t="s">
        <v>1316</v>
      </c>
      <c r="H213" s="5">
        <v>36210124</v>
      </c>
      <c r="I213" s="27"/>
      <c r="J213" s="28">
        <v>1</v>
      </c>
      <c r="K213" s="29"/>
    </row>
    <row r="214" spans="1:11" x14ac:dyDescent="0.35">
      <c r="A214" s="5" t="s">
        <v>789</v>
      </c>
      <c r="B214" s="5" t="s">
        <v>790</v>
      </c>
      <c r="C214" s="5" t="s">
        <v>791</v>
      </c>
      <c r="D214" s="5" t="s">
        <v>792</v>
      </c>
      <c r="G214"/>
    </row>
    <row r="215" spans="1:11" x14ac:dyDescent="0.35">
      <c r="E215" s="5">
        <v>0</v>
      </c>
      <c r="F215" s="5" t="s">
        <v>1060</v>
      </c>
      <c r="G215" t="s">
        <v>1317</v>
      </c>
      <c r="H215" s="5" t="s">
        <v>1065</v>
      </c>
      <c r="I215" s="27"/>
      <c r="J215" s="28">
        <v>1</v>
      </c>
      <c r="K215" s="29"/>
    </row>
    <row r="216" spans="1:11" x14ac:dyDescent="0.35">
      <c r="E216" s="5">
        <v>1</v>
      </c>
      <c r="F216" s="5" t="s">
        <v>1061</v>
      </c>
      <c r="G216" t="s">
        <v>1318</v>
      </c>
      <c r="H216" s="5" t="s">
        <v>1066</v>
      </c>
      <c r="I216" s="27"/>
      <c r="J216" s="28">
        <v>1</v>
      </c>
      <c r="K216" s="29"/>
    </row>
    <row r="217" spans="1:11" x14ac:dyDescent="0.35">
      <c r="E217" s="5">
        <v>2</v>
      </c>
      <c r="F217" s="5" t="s">
        <v>1062</v>
      </c>
      <c r="G217" t="s">
        <v>1230</v>
      </c>
      <c r="H217" s="5" t="s">
        <v>1024</v>
      </c>
      <c r="I217" s="27"/>
      <c r="J217" s="28">
        <v>1</v>
      </c>
      <c r="K217" s="29"/>
    </row>
    <row r="218" spans="1:11" x14ac:dyDescent="0.35">
      <c r="E218" s="5">
        <v>3</v>
      </c>
      <c r="F218" s="5" t="s">
        <v>1063</v>
      </c>
      <c r="G218" t="s">
        <v>1319</v>
      </c>
      <c r="H218" s="5" t="s">
        <v>1067</v>
      </c>
      <c r="I218" s="27"/>
      <c r="J218" s="28">
        <v>1</v>
      </c>
      <c r="K218" s="29"/>
    </row>
    <row r="219" spans="1:11" x14ac:dyDescent="0.35">
      <c r="E219" s="5">
        <v>4</v>
      </c>
      <c r="F219" s="5" t="s">
        <v>1064</v>
      </c>
      <c r="G219" t="s">
        <v>1229</v>
      </c>
      <c r="H219" s="5" t="s">
        <v>1068</v>
      </c>
      <c r="I219" s="27"/>
      <c r="J219" s="28">
        <v>1</v>
      </c>
      <c r="K219" s="29"/>
    </row>
    <row r="220" spans="1:11" x14ac:dyDescent="0.35">
      <c r="A220" s="5" t="s">
        <v>793</v>
      </c>
      <c r="B220" s="5" t="s">
        <v>794</v>
      </c>
      <c r="C220" s="5" t="s">
        <v>795</v>
      </c>
      <c r="D220" s="5" t="s">
        <v>796</v>
      </c>
      <c r="G220"/>
    </row>
    <row r="221" spans="1:11" x14ac:dyDescent="0.35">
      <c r="F221" s="5" t="s">
        <v>938</v>
      </c>
      <c r="G221" t="s">
        <v>1320</v>
      </c>
      <c r="H221" s="5">
        <v>4294169</v>
      </c>
      <c r="I221" s="27">
        <v>1</v>
      </c>
      <c r="J221" s="28"/>
      <c r="K221" s="29"/>
    </row>
    <row r="222" spans="1:11" x14ac:dyDescent="0.35">
      <c r="A222" s="1" t="s">
        <v>797</v>
      </c>
      <c r="G222"/>
    </row>
    <row r="223" spans="1:11" x14ac:dyDescent="0.35">
      <c r="A223" s="5" t="s">
        <v>798</v>
      </c>
      <c r="B223" s="5" t="s">
        <v>799</v>
      </c>
      <c r="C223" s="5" t="s">
        <v>800</v>
      </c>
      <c r="D223" s="5" t="s">
        <v>801</v>
      </c>
      <c r="G223"/>
    </row>
    <row r="224" spans="1:11" x14ac:dyDescent="0.35">
      <c r="E224" s="5">
        <v>0</v>
      </c>
      <c r="F224" s="5" t="s">
        <v>1069</v>
      </c>
      <c r="G224" t="s">
        <v>660</v>
      </c>
      <c r="H224" s="5">
        <v>45877994</v>
      </c>
      <c r="I224" s="27">
        <v>1</v>
      </c>
      <c r="J224" s="28"/>
      <c r="K224" s="29"/>
    </row>
    <row r="225" spans="1:11" x14ac:dyDescent="0.35">
      <c r="E225" s="5">
        <v>1</v>
      </c>
      <c r="F225" s="5" t="s">
        <v>1072</v>
      </c>
      <c r="G225" t="s">
        <v>1321</v>
      </c>
      <c r="H225" s="5">
        <v>45884425</v>
      </c>
      <c r="I225" s="27">
        <v>1</v>
      </c>
      <c r="J225" s="28"/>
      <c r="K225" s="29"/>
    </row>
    <row r="226" spans="1:11" x14ac:dyDescent="0.35">
      <c r="E226" s="5">
        <v>2</v>
      </c>
      <c r="F226" s="5" t="s">
        <v>1070</v>
      </c>
      <c r="G226" t="s">
        <v>661</v>
      </c>
      <c r="H226" s="5">
        <v>45878245</v>
      </c>
      <c r="I226" s="27">
        <v>1</v>
      </c>
      <c r="J226" s="28"/>
      <c r="K226" s="29"/>
    </row>
    <row r="227" spans="1:11" x14ac:dyDescent="0.35">
      <c r="A227" s="5" t="s">
        <v>802</v>
      </c>
      <c r="B227" s="5" t="s">
        <v>803</v>
      </c>
      <c r="C227" s="5" t="s">
        <v>804</v>
      </c>
      <c r="D227" s="5" t="s">
        <v>353</v>
      </c>
      <c r="G227"/>
    </row>
    <row r="228" spans="1:11" x14ac:dyDescent="0.35">
      <c r="F228" s="5" t="s">
        <v>1073</v>
      </c>
      <c r="G228"/>
      <c r="H228" s="5" t="s">
        <v>1078</v>
      </c>
      <c r="I228" s="27">
        <v>1</v>
      </c>
      <c r="J228" s="28"/>
      <c r="K228" s="29"/>
    </row>
    <row r="229" spans="1:11" x14ac:dyDescent="0.35">
      <c r="F229" s="5" t="s">
        <v>1074</v>
      </c>
      <c r="G229"/>
      <c r="H229" s="5" t="s">
        <v>1076</v>
      </c>
      <c r="I229" s="27">
        <v>1</v>
      </c>
      <c r="J229" s="28"/>
      <c r="K229" s="29"/>
    </row>
    <row r="230" spans="1:11" x14ac:dyDescent="0.35">
      <c r="F230" s="5" t="s">
        <v>1075</v>
      </c>
      <c r="G230"/>
      <c r="H230" s="5" t="s">
        <v>1077</v>
      </c>
      <c r="I230" s="27">
        <v>1</v>
      </c>
      <c r="J230" s="28"/>
      <c r="K230" s="29"/>
    </row>
    <row r="231" spans="1:11" x14ac:dyDescent="0.35">
      <c r="A231" s="5" t="s">
        <v>805</v>
      </c>
      <c r="B231" s="5" t="s">
        <v>806</v>
      </c>
      <c r="C231" s="5" t="s">
        <v>807</v>
      </c>
      <c r="D231" s="5" t="s">
        <v>361</v>
      </c>
      <c r="G231"/>
    </row>
    <row r="232" spans="1:11" x14ac:dyDescent="0.35">
      <c r="F232" s="5" t="s">
        <v>1079</v>
      </c>
      <c r="G232"/>
      <c r="H232" s="5" t="s">
        <v>1091</v>
      </c>
      <c r="I232" s="27"/>
      <c r="J232" s="28"/>
      <c r="K232" s="29"/>
    </row>
    <row r="233" spans="1:11" x14ac:dyDescent="0.35">
      <c r="F233" s="5" t="s">
        <v>1080</v>
      </c>
      <c r="G233"/>
      <c r="H233" s="5" t="s">
        <v>1092</v>
      </c>
      <c r="I233" s="27"/>
      <c r="J233" s="28"/>
      <c r="K233" s="29"/>
    </row>
    <row r="234" spans="1:11" x14ac:dyDescent="0.35">
      <c r="F234" s="5" t="s">
        <v>1081</v>
      </c>
      <c r="G234"/>
      <c r="H234" s="5" t="s">
        <v>1093</v>
      </c>
      <c r="I234" s="27"/>
      <c r="J234" s="28"/>
      <c r="K234" s="29"/>
    </row>
    <row r="235" spans="1:11" x14ac:dyDescent="0.35">
      <c r="F235" s="5" t="s">
        <v>1082</v>
      </c>
      <c r="G235"/>
      <c r="H235" s="5" t="s">
        <v>1094</v>
      </c>
      <c r="I235" s="27"/>
      <c r="J235" s="28"/>
      <c r="K235" s="29"/>
    </row>
    <row r="236" spans="1:11" x14ac:dyDescent="0.35">
      <c r="F236" s="5" t="s">
        <v>1083</v>
      </c>
      <c r="G236"/>
      <c r="H236" s="5" t="s">
        <v>1095</v>
      </c>
      <c r="I236" s="27"/>
      <c r="J236" s="28"/>
      <c r="K236" s="29"/>
    </row>
    <row r="237" spans="1:11" x14ac:dyDescent="0.35">
      <c r="F237" s="5" t="s">
        <v>1084</v>
      </c>
      <c r="G237"/>
      <c r="H237" s="5" t="s">
        <v>1096</v>
      </c>
      <c r="I237" s="27"/>
      <c r="J237" s="28"/>
      <c r="K237" s="29"/>
    </row>
    <row r="238" spans="1:11" x14ac:dyDescent="0.35">
      <c r="F238" s="5" t="s">
        <v>1085</v>
      </c>
      <c r="G238"/>
      <c r="H238" s="5" t="s">
        <v>1097</v>
      </c>
      <c r="I238" s="27"/>
      <c r="J238" s="28"/>
      <c r="K238" s="29"/>
    </row>
    <row r="239" spans="1:11" x14ac:dyDescent="0.35">
      <c r="F239" s="5" t="s">
        <v>1086</v>
      </c>
      <c r="G239"/>
      <c r="H239" s="5" t="s">
        <v>1098</v>
      </c>
      <c r="I239" s="27"/>
      <c r="J239" s="28"/>
      <c r="K239" s="29"/>
    </row>
    <row r="240" spans="1:11" x14ac:dyDescent="0.35">
      <c r="F240" s="5" t="s">
        <v>1087</v>
      </c>
      <c r="G240"/>
      <c r="H240" s="5" t="s">
        <v>1099</v>
      </c>
      <c r="I240" s="27"/>
      <c r="J240" s="28"/>
      <c r="K240" s="29"/>
    </row>
    <row r="241" spans="1:11" x14ac:dyDescent="0.35">
      <c r="F241" s="5" t="s">
        <v>1088</v>
      </c>
      <c r="G241"/>
      <c r="H241" s="5" t="s">
        <v>1100</v>
      </c>
      <c r="I241" s="27"/>
      <c r="J241" s="28"/>
      <c r="K241" s="29"/>
    </row>
    <row r="242" spans="1:11" x14ac:dyDescent="0.35">
      <c r="F242" s="5" t="s">
        <v>1089</v>
      </c>
      <c r="G242"/>
      <c r="H242" s="5" t="s">
        <v>1101</v>
      </c>
      <c r="I242" s="27"/>
      <c r="J242" s="28"/>
      <c r="K242" s="29"/>
    </row>
    <row r="243" spans="1:11" x14ac:dyDescent="0.35">
      <c r="F243" s="5" t="s">
        <v>1090</v>
      </c>
      <c r="G243"/>
      <c r="H243" s="5" t="s">
        <v>1102</v>
      </c>
      <c r="I243" s="27"/>
      <c r="J243" s="28"/>
      <c r="K243" s="29"/>
    </row>
    <row r="244" spans="1:11" x14ac:dyDescent="0.35">
      <c r="A244" s="5" t="s">
        <v>808</v>
      </c>
      <c r="B244" s="5" t="s">
        <v>809</v>
      </c>
      <c r="C244" s="5" t="s">
        <v>810</v>
      </c>
      <c r="D244" s="5" t="s">
        <v>364</v>
      </c>
      <c r="G244"/>
    </row>
    <row r="245" spans="1:11" x14ac:dyDescent="0.35">
      <c r="F245" s="5" t="s">
        <v>1103</v>
      </c>
      <c r="G245"/>
      <c r="H245" s="5" t="e">
        <v>#N/A</v>
      </c>
      <c r="I245" s="27"/>
      <c r="J245" s="28"/>
      <c r="K245" s="29">
        <v>1</v>
      </c>
    </row>
    <row r="246" spans="1:11" x14ac:dyDescent="0.35">
      <c r="F246" s="5" t="s">
        <v>1104</v>
      </c>
      <c r="G246" t="s">
        <v>1322</v>
      </c>
      <c r="H246" s="5" t="s">
        <v>1107</v>
      </c>
      <c r="I246" s="27">
        <v>1</v>
      </c>
      <c r="J246" s="28"/>
      <c r="K246" s="29"/>
    </row>
    <row r="247" spans="1:11" x14ac:dyDescent="0.35">
      <c r="F247" s="5" t="s">
        <v>1105</v>
      </c>
      <c r="G247" t="s">
        <v>1323</v>
      </c>
      <c r="H247" s="5" t="s">
        <v>1108</v>
      </c>
      <c r="I247" s="27">
        <v>1</v>
      </c>
      <c r="J247" s="28"/>
      <c r="K247" s="29"/>
    </row>
    <row r="248" spans="1:11" x14ac:dyDescent="0.35">
      <c r="F248" s="5" t="s">
        <v>1106</v>
      </c>
      <c r="G248" t="s">
        <v>1324</v>
      </c>
      <c r="H248" s="5" t="s">
        <v>1109</v>
      </c>
      <c r="I248" s="27">
        <v>1</v>
      </c>
      <c r="J248" s="28"/>
      <c r="K248" s="29"/>
    </row>
    <row r="249" spans="1:11" x14ac:dyDescent="0.35">
      <c r="A249" s="5" t="s">
        <v>811</v>
      </c>
      <c r="B249" s="5" t="s">
        <v>812</v>
      </c>
      <c r="C249" s="5" t="s">
        <v>813</v>
      </c>
      <c r="D249" s="5" t="s">
        <v>367</v>
      </c>
      <c r="G249"/>
    </row>
    <row r="250" spans="1:11" x14ac:dyDescent="0.35">
      <c r="F250" s="5" t="s">
        <v>1110</v>
      </c>
      <c r="G250"/>
      <c r="H250" s="5" t="e">
        <v>#N/A</v>
      </c>
      <c r="I250" s="27"/>
      <c r="J250" s="28"/>
      <c r="K250" s="29">
        <v>1</v>
      </c>
    </row>
    <row r="251" spans="1:11" x14ac:dyDescent="0.35">
      <c r="F251" s="5" t="s">
        <v>1111</v>
      </c>
      <c r="G251" t="s">
        <v>1325</v>
      </c>
      <c r="H251" s="5" t="s">
        <v>1121</v>
      </c>
      <c r="I251" s="27"/>
      <c r="J251" s="28">
        <v>1</v>
      </c>
      <c r="K251" s="29"/>
    </row>
    <row r="252" spans="1:11" x14ac:dyDescent="0.35">
      <c r="F252" s="5" t="s">
        <v>1112</v>
      </c>
      <c r="G252"/>
      <c r="H252" s="5" t="s">
        <v>1122</v>
      </c>
      <c r="I252" s="27"/>
      <c r="J252" s="28">
        <v>1</v>
      </c>
      <c r="K252" s="29"/>
    </row>
    <row r="253" spans="1:11" x14ac:dyDescent="0.35">
      <c r="F253" s="5" t="s">
        <v>1113</v>
      </c>
      <c r="G253" t="s">
        <v>1326</v>
      </c>
      <c r="H253" s="5" t="s">
        <v>1123</v>
      </c>
      <c r="I253" s="27"/>
      <c r="J253" s="28">
        <v>1</v>
      </c>
      <c r="K253" s="29"/>
    </row>
    <row r="254" spans="1:11" x14ac:dyDescent="0.35">
      <c r="F254" s="5" t="s">
        <v>1114</v>
      </c>
      <c r="G254" t="s">
        <v>1327</v>
      </c>
      <c r="H254" s="5" t="s">
        <v>1124</v>
      </c>
      <c r="I254" s="27"/>
      <c r="J254" s="28">
        <v>1</v>
      </c>
      <c r="K254" s="29"/>
    </row>
    <row r="255" spans="1:11" x14ac:dyDescent="0.35">
      <c r="F255" s="5" t="s">
        <v>1115</v>
      </c>
      <c r="G255" t="s">
        <v>1328</v>
      </c>
      <c r="H255" s="5" t="s">
        <v>1125</v>
      </c>
      <c r="I255" s="27"/>
      <c r="J255" s="28">
        <v>1</v>
      </c>
      <c r="K255" s="29"/>
    </row>
    <row r="256" spans="1:11" x14ac:dyDescent="0.35">
      <c r="F256" s="5" t="s">
        <v>1116</v>
      </c>
      <c r="G256" t="s">
        <v>1329</v>
      </c>
      <c r="H256" s="5" t="s">
        <v>1126</v>
      </c>
      <c r="I256" s="27"/>
      <c r="J256" s="28">
        <v>1</v>
      </c>
      <c r="K256" s="29"/>
    </row>
    <row r="257" spans="1:11" x14ac:dyDescent="0.35">
      <c r="F257" s="5" t="s">
        <v>1117</v>
      </c>
      <c r="G257" t="s">
        <v>1330</v>
      </c>
      <c r="H257" s="5" t="s">
        <v>1127</v>
      </c>
      <c r="I257" s="27"/>
      <c r="J257" s="28">
        <v>1</v>
      </c>
      <c r="K257" s="29"/>
    </row>
    <row r="258" spans="1:11" x14ac:dyDescent="0.35">
      <c r="F258" s="5" t="s">
        <v>1118</v>
      </c>
      <c r="G258" t="s">
        <v>1331</v>
      </c>
      <c r="H258" s="5" t="s">
        <v>1128</v>
      </c>
      <c r="I258" s="27"/>
      <c r="J258" s="28">
        <v>1</v>
      </c>
      <c r="K258" s="29"/>
    </row>
    <row r="259" spans="1:11" x14ac:dyDescent="0.35">
      <c r="F259" s="5" t="s">
        <v>1119</v>
      </c>
      <c r="G259" t="s">
        <v>1332</v>
      </c>
      <c r="H259" s="5">
        <v>4202604</v>
      </c>
      <c r="I259" s="27"/>
      <c r="J259" s="28">
        <v>1</v>
      </c>
      <c r="K259" s="29"/>
    </row>
    <row r="260" spans="1:11" x14ac:dyDescent="0.35">
      <c r="F260" s="5" t="s">
        <v>1120</v>
      </c>
      <c r="G260" t="s">
        <v>1333</v>
      </c>
      <c r="H260" s="5" t="s">
        <v>1129</v>
      </c>
      <c r="I260" s="27"/>
      <c r="J260" s="28">
        <v>1</v>
      </c>
      <c r="K260" s="29"/>
    </row>
    <row r="261" spans="1:11" x14ac:dyDescent="0.35">
      <c r="A261" s="5" t="s">
        <v>814</v>
      </c>
      <c r="B261" s="5" t="s">
        <v>815</v>
      </c>
      <c r="C261" s="5" t="s">
        <v>816</v>
      </c>
      <c r="D261" s="5" t="s">
        <v>377</v>
      </c>
      <c r="G261"/>
    </row>
    <row r="262" spans="1:11" x14ac:dyDescent="0.35">
      <c r="F262" s="5" t="s">
        <v>1130</v>
      </c>
      <c r="G262" t="s">
        <v>1334</v>
      </c>
      <c r="H262" s="5" t="s">
        <v>1134</v>
      </c>
      <c r="I262" s="27"/>
      <c r="J262" s="28">
        <v>1</v>
      </c>
      <c r="K262" s="29"/>
    </row>
    <row r="263" spans="1:11" x14ac:dyDescent="0.35">
      <c r="F263" s="5" t="s">
        <v>1131</v>
      </c>
      <c r="G263" t="s">
        <v>1335</v>
      </c>
      <c r="H263" s="5" t="s">
        <v>1135</v>
      </c>
      <c r="I263" s="27"/>
      <c r="J263" s="28">
        <v>1</v>
      </c>
      <c r="K263" s="29"/>
    </row>
    <row r="264" spans="1:11" x14ac:dyDescent="0.35">
      <c r="F264" s="5" t="s">
        <v>1132</v>
      </c>
      <c r="G264" t="s">
        <v>1336</v>
      </c>
      <c r="H264" s="5" t="s">
        <v>1136</v>
      </c>
      <c r="I264" s="27"/>
      <c r="J264" s="28">
        <v>1</v>
      </c>
      <c r="K264" s="29"/>
    </row>
    <row r="265" spans="1:11" x14ac:dyDescent="0.35">
      <c r="F265" s="5" t="s">
        <v>1133</v>
      </c>
      <c r="G265" t="s">
        <v>1302</v>
      </c>
      <c r="H265" s="5" t="s">
        <v>1045</v>
      </c>
      <c r="I265" s="27"/>
      <c r="J265" s="28">
        <v>1</v>
      </c>
      <c r="K265" s="29"/>
    </row>
    <row r="266" spans="1:11" x14ac:dyDescent="0.35">
      <c r="A266" s="5" t="s">
        <v>817</v>
      </c>
      <c r="B266" s="5" t="s">
        <v>818</v>
      </c>
      <c r="C266" s="5" t="s">
        <v>819</v>
      </c>
      <c r="D266" s="5" t="s">
        <v>380</v>
      </c>
      <c r="G266"/>
    </row>
    <row r="267" spans="1:11" x14ac:dyDescent="0.35">
      <c r="F267" s="5" t="s">
        <v>1137</v>
      </c>
      <c r="G267" t="s">
        <v>1337</v>
      </c>
      <c r="H267" s="5" t="s">
        <v>1141</v>
      </c>
      <c r="I267" s="27">
        <v>1</v>
      </c>
      <c r="J267" s="28"/>
      <c r="K267" s="29"/>
    </row>
    <row r="268" spans="1:11" x14ac:dyDescent="0.35">
      <c r="F268" s="5" t="s">
        <v>1138</v>
      </c>
      <c r="G268" t="s">
        <v>1338</v>
      </c>
      <c r="H268" s="5" t="s">
        <v>1142</v>
      </c>
      <c r="I268" s="27"/>
      <c r="J268" s="28">
        <v>1</v>
      </c>
      <c r="K268" s="29"/>
    </row>
    <row r="269" spans="1:11" x14ac:dyDescent="0.35">
      <c r="F269" s="5" t="s">
        <v>1139</v>
      </c>
      <c r="G269" t="s">
        <v>1339</v>
      </c>
      <c r="H269" s="5" t="s">
        <v>1143</v>
      </c>
      <c r="I269" s="27"/>
      <c r="J269" s="28">
        <v>1</v>
      </c>
      <c r="K269" s="29"/>
    </row>
    <row r="270" spans="1:11" x14ac:dyDescent="0.35">
      <c r="F270" s="5" t="s">
        <v>1140</v>
      </c>
      <c r="G270" t="s">
        <v>1340</v>
      </c>
      <c r="H270" s="5" t="s">
        <v>1144</v>
      </c>
      <c r="I270" s="27"/>
      <c r="J270" s="28">
        <v>1</v>
      </c>
      <c r="K270" s="29"/>
    </row>
    <row r="271" spans="1:11" x14ac:dyDescent="0.35">
      <c r="A271" s="5" t="s">
        <v>820</v>
      </c>
      <c r="B271" s="5" t="s">
        <v>821</v>
      </c>
      <c r="C271" s="5" t="s">
        <v>822</v>
      </c>
      <c r="D271" s="5" t="s">
        <v>383</v>
      </c>
      <c r="G271"/>
    </row>
    <row r="272" spans="1:11" x14ac:dyDescent="0.35">
      <c r="F272" s="5" t="s">
        <v>1145</v>
      </c>
      <c r="G272" t="s">
        <v>1341</v>
      </c>
      <c r="H272" s="5" t="s">
        <v>1150</v>
      </c>
      <c r="I272" s="27">
        <v>1</v>
      </c>
      <c r="J272" s="28"/>
      <c r="K272" s="29"/>
    </row>
    <row r="273" spans="1:11" x14ac:dyDescent="0.35">
      <c r="F273" s="5" t="s">
        <v>1146</v>
      </c>
      <c r="G273" t="s">
        <v>1342</v>
      </c>
      <c r="H273" s="5">
        <v>1297568</v>
      </c>
      <c r="I273" s="27">
        <v>1</v>
      </c>
      <c r="J273" s="28"/>
      <c r="K273" s="29"/>
    </row>
    <row r="274" spans="1:11" x14ac:dyDescent="0.35">
      <c r="F274" s="5" t="s">
        <v>1147</v>
      </c>
      <c r="G274" t="s">
        <v>1343</v>
      </c>
      <c r="H274" s="5" t="s">
        <v>1151</v>
      </c>
      <c r="I274" s="27">
        <v>1</v>
      </c>
      <c r="J274" s="28"/>
      <c r="K274" s="29"/>
    </row>
    <row r="275" spans="1:11" x14ac:dyDescent="0.35">
      <c r="F275" s="5" t="s">
        <v>1148</v>
      </c>
      <c r="G275" t="s">
        <v>1344</v>
      </c>
      <c r="H275" s="5" t="s">
        <v>1152</v>
      </c>
      <c r="I275" s="27">
        <v>1</v>
      </c>
      <c r="J275" s="28"/>
      <c r="K275" s="29"/>
    </row>
    <row r="276" spans="1:11" x14ac:dyDescent="0.35">
      <c r="F276" s="5" t="s">
        <v>1149</v>
      </c>
      <c r="G276" t="s">
        <v>1345</v>
      </c>
      <c r="H276" s="5" t="s">
        <v>1153</v>
      </c>
      <c r="I276" s="27"/>
      <c r="J276" s="28">
        <v>1</v>
      </c>
      <c r="K276" s="29"/>
    </row>
    <row r="277" spans="1:11" x14ac:dyDescent="0.35">
      <c r="A277" s="5" t="s">
        <v>823</v>
      </c>
      <c r="B277" s="5" t="s">
        <v>824</v>
      </c>
      <c r="C277" s="5" t="s">
        <v>825</v>
      </c>
      <c r="D277" s="5" t="s">
        <v>406</v>
      </c>
      <c r="G277"/>
    </row>
    <row r="278" spans="1:11" x14ac:dyDescent="0.35">
      <c r="F278" s="5" t="s">
        <v>1154</v>
      </c>
      <c r="G278" t="s">
        <v>1346</v>
      </c>
      <c r="H278" s="5" t="s">
        <v>1157</v>
      </c>
      <c r="I278" s="27">
        <v>1</v>
      </c>
      <c r="J278" s="28"/>
      <c r="K278" s="29"/>
    </row>
    <row r="279" spans="1:11" x14ac:dyDescent="0.35">
      <c r="F279" s="5" t="s">
        <v>1155</v>
      </c>
      <c r="G279" t="s">
        <v>1347</v>
      </c>
      <c r="H279" s="5" t="s">
        <v>1158</v>
      </c>
      <c r="I279" s="27">
        <v>1</v>
      </c>
      <c r="J279" s="28"/>
      <c r="K279" s="29"/>
    </row>
    <row r="280" spans="1:11" x14ac:dyDescent="0.35">
      <c r="F280" s="5" t="s">
        <v>1156</v>
      </c>
      <c r="G280" t="s">
        <v>1348</v>
      </c>
      <c r="H280" s="5" t="s">
        <v>1159</v>
      </c>
      <c r="I280" s="27">
        <v>1</v>
      </c>
      <c r="J280" s="28"/>
      <c r="K280" s="29"/>
    </row>
    <row r="281" spans="1:11" x14ac:dyDescent="0.35">
      <c r="A281" s="5" t="s">
        <v>826</v>
      </c>
      <c r="B281" s="5" t="s">
        <v>827</v>
      </c>
      <c r="C281" s="5" t="s">
        <v>828</v>
      </c>
      <c r="D281" s="5" t="s">
        <v>425</v>
      </c>
      <c r="G281"/>
      <c r="I281" s="27"/>
      <c r="J281" s="28"/>
      <c r="K281" s="29"/>
    </row>
    <row r="282" spans="1:11" x14ac:dyDescent="0.35">
      <c r="F282" s="5" t="s">
        <v>1160</v>
      </c>
      <c r="G282" t="s">
        <v>1349</v>
      </c>
      <c r="H282" s="5" t="s">
        <v>1165</v>
      </c>
      <c r="I282" s="27"/>
      <c r="J282" s="28">
        <v>1</v>
      </c>
      <c r="K282" s="29"/>
    </row>
    <row r="283" spans="1:11" x14ac:dyDescent="0.35">
      <c r="F283" s="5" t="s">
        <v>1161</v>
      </c>
      <c r="G283" t="s">
        <v>1350</v>
      </c>
      <c r="H283" s="5" t="s">
        <v>1166</v>
      </c>
      <c r="I283" s="27"/>
      <c r="J283" s="28">
        <v>1</v>
      </c>
      <c r="K283" s="29"/>
    </row>
    <row r="284" spans="1:11" x14ac:dyDescent="0.35">
      <c r="F284" s="5" t="s">
        <v>1162</v>
      </c>
      <c r="G284" t="s">
        <v>1351</v>
      </c>
      <c r="H284" s="5" t="s">
        <v>1167</v>
      </c>
      <c r="I284" s="27"/>
      <c r="J284" s="28">
        <v>1</v>
      </c>
      <c r="K284" s="29"/>
    </row>
    <row r="285" spans="1:11" x14ac:dyDescent="0.35">
      <c r="F285" s="5" t="s">
        <v>1163</v>
      </c>
      <c r="G285" t="s">
        <v>1352</v>
      </c>
      <c r="H285" s="5" t="s">
        <v>1168</v>
      </c>
      <c r="I285" s="27"/>
      <c r="J285" s="28">
        <v>1</v>
      </c>
      <c r="K285" s="29"/>
    </row>
    <row r="286" spans="1:11" x14ac:dyDescent="0.35">
      <c r="F286" s="5" t="s">
        <v>1164</v>
      </c>
      <c r="G286" t="s">
        <v>1353</v>
      </c>
      <c r="H286" s="5" t="s">
        <v>1169</v>
      </c>
      <c r="I286" s="27"/>
      <c r="J286" s="28">
        <v>1</v>
      </c>
      <c r="K286" s="29"/>
    </row>
    <row r="287" spans="1:11" x14ac:dyDescent="0.35">
      <c r="A287" s="1" t="s">
        <v>829</v>
      </c>
      <c r="G287"/>
    </row>
    <row r="288" spans="1:11" x14ac:dyDescent="0.35">
      <c r="A288" s="5" t="s">
        <v>830</v>
      </c>
      <c r="B288" s="5" t="s">
        <v>831</v>
      </c>
      <c r="C288" s="5" t="s">
        <v>832</v>
      </c>
      <c r="D288" s="5" t="s">
        <v>444</v>
      </c>
      <c r="G288"/>
    </row>
    <row r="289" spans="1:11" x14ac:dyDescent="0.35">
      <c r="F289" s="5" t="s">
        <v>1170</v>
      </c>
      <c r="G289" t="s">
        <v>1354</v>
      </c>
      <c r="H289" s="5" t="s">
        <v>1173</v>
      </c>
      <c r="I289" s="27">
        <v>1</v>
      </c>
      <c r="J289" s="28"/>
      <c r="K289" s="29"/>
    </row>
    <row r="290" spans="1:11" x14ac:dyDescent="0.35">
      <c r="F290" s="5" t="s">
        <v>1171</v>
      </c>
      <c r="G290" t="s">
        <v>1355</v>
      </c>
      <c r="H290" s="5" t="s">
        <v>1174</v>
      </c>
      <c r="I290" s="27">
        <v>1</v>
      </c>
      <c r="J290" s="28"/>
      <c r="K290" s="29"/>
    </row>
    <row r="291" spans="1:11" x14ac:dyDescent="0.35">
      <c r="F291" s="5" t="s">
        <v>1172</v>
      </c>
      <c r="G291" t="s">
        <v>1356</v>
      </c>
      <c r="H291" s="5" t="s">
        <v>1175</v>
      </c>
      <c r="I291" s="27"/>
      <c r="J291" s="28">
        <v>1</v>
      </c>
      <c r="K291" s="29"/>
    </row>
    <row r="292" spans="1:11" x14ac:dyDescent="0.35">
      <c r="A292" s="5" t="s">
        <v>833</v>
      </c>
      <c r="B292" s="5" t="s">
        <v>834</v>
      </c>
      <c r="C292" s="5" t="s">
        <v>835</v>
      </c>
      <c r="D292" s="5" t="s">
        <v>447</v>
      </c>
      <c r="G292"/>
    </row>
    <row r="293" spans="1:11" x14ac:dyDescent="0.35">
      <c r="F293" s="5" t="s">
        <v>1176</v>
      </c>
      <c r="G293" t="s">
        <v>661</v>
      </c>
      <c r="H293" s="5" t="s">
        <v>1178</v>
      </c>
      <c r="I293" s="27">
        <v>1</v>
      </c>
      <c r="J293" s="28"/>
      <c r="K293" s="29"/>
    </row>
    <row r="294" spans="1:11" x14ac:dyDescent="0.35">
      <c r="F294" s="5" t="s">
        <v>1177</v>
      </c>
      <c r="G294" t="s">
        <v>660</v>
      </c>
      <c r="H294" s="5" t="s">
        <v>1179</v>
      </c>
      <c r="I294" s="27">
        <v>1</v>
      </c>
      <c r="J294" s="28"/>
      <c r="K294" s="29"/>
    </row>
    <row r="295" spans="1:11" x14ac:dyDescent="0.35">
      <c r="A295" s="5" t="s">
        <v>836</v>
      </c>
      <c r="B295" s="5" t="s">
        <v>837</v>
      </c>
      <c r="C295" s="5" t="s">
        <v>838</v>
      </c>
      <c r="D295" s="5" t="s">
        <v>450</v>
      </c>
      <c r="G295"/>
    </row>
    <row r="296" spans="1:11" x14ac:dyDescent="0.35">
      <c r="F296" s="5" t="s">
        <v>1176</v>
      </c>
      <c r="G296"/>
      <c r="H296" s="5" t="s">
        <v>1181</v>
      </c>
      <c r="I296" s="27"/>
      <c r="J296" s="28"/>
      <c r="K296" s="29">
        <v>1</v>
      </c>
    </row>
    <row r="297" spans="1:11" x14ac:dyDescent="0.35">
      <c r="F297" s="5" t="s">
        <v>1177</v>
      </c>
      <c r="G297" t="s">
        <v>1357</v>
      </c>
      <c r="H297" s="5" t="s">
        <v>1180</v>
      </c>
      <c r="I297" s="27"/>
      <c r="J297" s="28">
        <v>1</v>
      </c>
      <c r="K297" s="29"/>
    </row>
    <row r="298" spans="1:11" x14ac:dyDescent="0.35">
      <c r="A298" s="5" t="s">
        <v>839</v>
      </c>
      <c r="B298" s="5" t="s">
        <v>840</v>
      </c>
      <c r="C298" s="5" t="s">
        <v>841</v>
      </c>
      <c r="D298" s="5" t="s">
        <v>453</v>
      </c>
      <c r="G298"/>
    </row>
    <row r="299" spans="1:11" x14ac:dyDescent="0.35">
      <c r="F299" s="5" t="s">
        <v>1176</v>
      </c>
      <c r="G299"/>
      <c r="H299" s="5" t="s">
        <v>1181</v>
      </c>
      <c r="I299" s="27"/>
      <c r="J299" s="28"/>
      <c r="K299" s="29">
        <v>1</v>
      </c>
    </row>
    <row r="300" spans="1:11" x14ac:dyDescent="0.35">
      <c r="F300" s="5" t="s">
        <v>1177</v>
      </c>
      <c r="G300" t="s">
        <v>455</v>
      </c>
      <c r="H300" s="5">
        <v>45879751</v>
      </c>
      <c r="I300" s="27"/>
      <c r="J300" s="28">
        <v>1</v>
      </c>
      <c r="K300" s="29"/>
    </row>
    <row r="301" spans="1:11" x14ac:dyDescent="0.35">
      <c r="A301" s="5" t="s">
        <v>842</v>
      </c>
      <c r="B301" s="5" t="s">
        <v>843</v>
      </c>
      <c r="C301" s="5" t="s">
        <v>844</v>
      </c>
      <c r="D301" s="5" t="s">
        <v>456</v>
      </c>
      <c r="G301"/>
    </row>
    <row r="302" spans="1:11" x14ac:dyDescent="0.35">
      <c r="F302" s="5" t="s">
        <v>1176</v>
      </c>
      <c r="G302"/>
      <c r="H302" s="5" t="s">
        <v>1181</v>
      </c>
      <c r="I302" s="27"/>
      <c r="J302" s="28"/>
      <c r="K302" s="29">
        <v>1</v>
      </c>
    </row>
    <row r="303" spans="1:11" x14ac:dyDescent="0.35">
      <c r="F303" s="5" t="s">
        <v>1177</v>
      </c>
      <c r="G303" t="s">
        <v>1358</v>
      </c>
      <c r="H303" s="5">
        <v>45884524</v>
      </c>
      <c r="I303" s="27"/>
      <c r="J303" s="28">
        <v>1</v>
      </c>
      <c r="K303" s="29"/>
    </row>
    <row r="304" spans="1:11" x14ac:dyDescent="0.35">
      <c r="A304" s="5" t="s">
        <v>845</v>
      </c>
      <c r="B304" s="5" t="s">
        <v>846</v>
      </c>
      <c r="C304" s="5" t="s">
        <v>847</v>
      </c>
      <c r="D304" s="5" t="s">
        <v>459</v>
      </c>
      <c r="G304"/>
    </row>
    <row r="305" spans="1:11" x14ac:dyDescent="0.35">
      <c r="F305" s="5" t="s">
        <v>1176</v>
      </c>
      <c r="G305"/>
      <c r="H305" s="5" t="s">
        <v>1181</v>
      </c>
      <c r="I305" s="27"/>
      <c r="J305" s="28"/>
      <c r="K305" s="29"/>
    </row>
    <row r="306" spans="1:11" x14ac:dyDescent="0.35">
      <c r="F306" s="5" t="s">
        <v>1177</v>
      </c>
      <c r="G306"/>
      <c r="H306" s="5">
        <v>5884525</v>
      </c>
      <c r="I306" s="27"/>
      <c r="J306" s="28"/>
      <c r="K306" s="29"/>
    </row>
    <row r="307" spans="1:11" x14ac:dyDescent="0.35">
      <c r="A307" s="1" t="s">
        <v>848</v>
      </c>
      <c r="G307"/>
    </row>
    <row r="308" spans="1:11" x14ac:dyDescent="0.35">
      <c r="A308" s="5" t="s">
        <v>849</v>
      </c>
      <c r="B308" s="5" t="s">
        <v>850</v>
      </c>
      <c r="C308" s="5" t="s">
        <v>851</v>
      </c>
      <c r="D308" s="5" t="s">
        <v>596</v>
      </c>
      <c r="G308"/>
      <c r="I308" s="6"/>
    </row>
    <row r="309" spans="1:11" x14ac:dyDescent="0.35">
      <c r="F309" s="5" t="s">
        <v>1182</v>
      </c>
      <c r="G309" t="s">
        <v>1245</v>
      </c>
      <c r="H309" s="5" t="s">
        <v>919</v>
      </c>
      <c r="I309" s="27">
        <v>1</v>
      </c>
      <c r="J309" s="28"/>
      <c r="K309" s="29"/>
    </row>
    <row r="310" spans="1:11" x14ac:dyDescent="0.35">
      <c r="F310" s="5" t="s">
        <v>905</v>
      </c>
      <c r="G310" t="s">
        <v>1246</v>
      </c>
      <c r="H310" s="5" t="s">
        <v>920</v>
      </c>
      <c r="I310" s="27">
        <v>1</v>
      </c>
      <c r="J310" s="28"/>
      <c r="K310" s="29"/>
    </row>
    <row r="311" spans="1:11" x14ac:dyDescent="0.35">
      <c r="F311" s="5" t="s">
        <v>906</v>
      </c>
      <c r="G311" t="s">
        <v>1247</v>
      </c>
      <c r="H311" s="5" t="s">
        <v>921</v>
      </c>
      <c r="I311" s="27">
        <v>1</v>
      </c>
      <c r="J311" s="28"/>
      <c r="K311" s="29"/>
    </row>
    <row r="312" spans="1:11" x14ac:dyDescent="0.35">
      <c r="F312" s="5" t="s">
        <v>1183</v>
      </c>
      <c r="G312" t="s">
        <v>1359</v>
      </c>
      <c r="H312" s="5">
        <v>4024561</v>
      </c>
      <c r="I312" s="27">
        <v>1</v>
      </c>
      <c r="J312" s="28"/>
      <c r="K312" s="29"/>
    </row>
    <row r="313" spans="1:11" x14ac:dyDescent="0.35">
      <c r="F313" s="5" t="s">
        <v>1184</v>
      </c>
      <c r="G313" t="s">
        <v>1248</v>
      </c>
      <c r="H313" s="5" t="s">
        <v>922</v>
      </c>
      <c r="I313" s="27">
        <v>1</v>
      </c>
      <c r="J313" s="28"/>
      <c r="K313" s="29"/>
    </row>
    <row r="314" spans="1:11" x14ac:dyDescent="0.35">
      <c r="F314" s="5" t="s">
        <v>1185</v>
      </c>
      <c r="G314" t="s">
        <v>26</v>
      </c>
      <c r="H314" s="5" t="s">
        <v>923</v>
      </c>
      <c r="I314" s="27">
        <v>1</v>
      </c>
      <c r="J314" s="28"/>
      <c r="K314" s="29"/>
    </row>
    <row r="315" spans="1:11" x14ac:dyDescent="0.35">
      <c r="F315" s="5" t="s">
        <v>910</v>
      </c>
      <c r="G315" t="s">
        <v>1250</v>
      </c>
      <c r="H315" s="5" t="s">
        <v>925</v>
      </c>
      <c r="I315" s="27">
        <v>1</v>
      </c>
      <c r="J315" s="28"/>
      <c r="K315" s="29"/>
    </row>
    <row r="316" spans="1:11" x14ac:dyDescent="0.35">
      <c r="F316" s="5" t="s">
        <v>1186</v>
      </c>
      <c r="G316" t="s">
        <v>1251</v>
      </c>
      <c r="H316" s="5" t="s">
        <v>926</v>
      </c>
      <c r="I316" s="27">
        <v>1</v>
      </c>
      <c r="J316" s="28"/>
      <c r="K316" s="29"/>
    </row>
    <row r="317" spans="1:11" x14ac:dyDescent="0.35">
      <c r="F317" s="5" t="s">
        <v>1187</v>
      </c>
      <c r="G317" t="s">
        <v>1360</v>
      </c>
      <c r="H317" s="5">
        <v>381316</v>
      </c>
      <c r="I317" s="27"/>
      <c r="J317" s="28">
        <v>1</v>
      </c>
      <c r="K317" s="29"/>
    </row>
    <row r="318" spans="1:11" x14ac:dyDescent="0.35">
      <c r="F318" s="5" t="s">
        <v>1188</v>
      </c>
      <c r="G318" t="s">
        <v>1361</v>
      </c>
      <c r="H318" s="5">
        <v>376337</v>
      </c>
      <c r="I318" s="27">
        <v>1</v>
      </c>
      <c r="J318" s="28"/>
      <c r="K318" s="29"/>
    </row>
    <row r="319" spans="1:11" x14ac:dyDescent="0.35">
      <c r="F319" s="5" t="s">
        <v>1189</v>
      </c>
      <c r="G319" t="s">
        <v>1253</v>
      </c>
      <c r="H319" s="5" t="s">
        <v>928</v>
      </c>
      <c r="I319" s="27">
        <v>1</v>
      </c>
      <c r="J319" s="28"/>
      <c r="K319" s="29"/>
    </row>
    <row r="320" spans="1:11" x14ac:dyDescent="0.35">
      <c r="F320" s="5" t="s">
        <v>1190</v>
      </c>
      <c r="G320" t="s">
        <v>1254</v>
      </c>
      <c r="H320" s="5" t="s">
        <v>929</v>
      </c>
      <c r="I320" s="27">
        <v>1</v>
      </c>
      <c r="J320" s="28"/>
      <c r="K320" s="29"/>
    </row>
    <row r="321" spans="1:11" x14ac:dyDescent="0.35">
      <c r="F321" s="5" t="s">
        <v>1191</v>
      </c>
      <c r="G321" t="s">
        <v>1257</v>
      </c>
      <c r="H321" s="5" t="s">
        <v>932</v>
      </c>
      <c r="I321" s="27">
        <v>1</v>
      </c>
      <c r="J321" s="28"/>
      <c r="K321" s="29"/>
    </row>
    <row r="322" spans="1:11" x14ac:dyDescent="0.35">
      <c r="G322"/>
    </row>
    <row r="323" spans="1:11" x14ac:dyDescent="0.35">
      <c r="A323" s="5" t="s">
        <v>852</v>
      </c>
      <c r="B323" s="5" t="s">
        <v>853</v>
      </c>
      <c r="C323" s="5" t="s">
        <v>854</v>
      </c>
      <c r="D323" s="5" t="s">
        <v>597</v>
      </c>
      <c r="G323"/>
    </row>
    <row r="324" spans="1:11" x14ac:dyDescent="0.35">
      <c r="F324" s="5" t="s">
        <v>1176</v>
      </c>
      <c r="G324"/>
      <c r="H324" s="5" t="s">
        <v>1181</v>
      </c>
      <c r="I324" s="27"/>
      <c r="J324" s="28"/>
      <c r="K324" s="29">
        <v>1</v>
      </c>
    </row>
    <row r="325" spans="1:11" x14ac:dyDescent="0.35">
      <c r="F325" s="5" t="s">
        <v>1177</v>
      </c>
      <c r="G325" t="s">
        <v>1357</v>
      </c>
      <c r="H325" s="5" t="s">
        <v>1180</v>
      </c>
      <c r="I325" s="27"/>
      <c r="J325" s="28">
        <v>1</v>
      </c>
      <c r="K325" s="29"/>
    </row>
    <row r="326" spans="1:11" x14ac:dyDescent="0.35">
      <c r="A326" s="5" t="s">
        <v>855</v>
      </c>
      <c r="B326" s="5" t="s">
        <v>856</v>
      </c>
      <c r="C326" s="5" t="s">
        <v>857</v>
      </c>
      <c r="D326" s="5" t="s">
        <v>599</v>
      </c>
      <c r="G326"/>
    </row>
    <row r="327" spans="1:11" x14ac:dyDescent="0.35">
      <c r="F327" s="5" t="s">
        <v>1176</v>
      </c>
      <c r="G327"/>
      <c r="H327" s="5" t="s">
        <v>1181</v>
      </c>
      <c r="I327" s="27"/>
      <c r="J327" s="28"/>
      <c r="K327" s="29">
        <v>1</v>
      </c>
    </row>
    <row r="328" spans="1:11" x14ac:dyDescent="0.35">
      <c r="F328" s="5" t="s">
        <v>1177</v>
      </c>
      <c r="G328" t="s">
        <v>455</v>
      </c>
      <c r="H328" s="5">
        <v>45879751</v>
      </c>
      <c r="I328" s="27"/>
      <c r="J328" s="28">
        <v>1</v>
      </c>
      <c r="K328" s="29"/>
    </row>
    <row r="329" spans="1:11" x14ac:dyDescent="0.35">
      <c r="A329" s="5" t="s">
        <v>858</v>
      </c>
      <c r="B329" s="5" t="s">
        <v>859</v>
      </c>
      <c r="C329" s="5" t="s">
        <v>860</v>
      </c>
      <c r="D329" s="5" t="s">
        <v>601</v>
      </c>
      <c r="G329"/>
    </row>
    <row r="330" spans="1:11" x14ac:dyDescent="0.35">
      <c r="F330" s="5" t="s">
        <v>1176</v>
      </c>
      <c r="G330"/>
      <c r="H330" s="5" t="s">
        <v>1181</v>
      </c>
      <c r="I330" s="27"/>
      <c r="J330" s="28"/>
      <c r="K330" s="29">
        <v>1</v>
      </c>
    </row>
    <row r="331" spans="1:11" x14ac:dyDescent="0.35">
      <c r="F331" s="5" t="s">
        <v>1177</v>
      </c>
      <c r="G331" t="s">
        <v>1362</v>
      </c>
      <c r="H331" s="5">
        <v>40770405</v>
      </c>
      <c r="I331" s="27"/>
      <c r="J331" s="28">
        <v>1</v>
      </c>
      <c r="K331" s="29"/>
    </row>
    <row r="332" spans="1:11" x14ac:dyDescent="0.35">
      <c r="A332" s="5" t="s">
        <v>861</v>
      </c>
      <c r="B332" s="5" t="s">
        <v>862</v>
      </c>
      <c r="C332" s="5" t="s">
        <v>863</v>
      </c>
      <c r="D332" s="5" t="s">
        <v>604</v>
      </c>
      <c r="F332" s="6"/>
      <c r="G332"/>
    </row>
    <row r="333" spans="1:11" x14ac:dyDescent="0.35">
      <c r="F333" s="5" t="s">
        <v>1176</v>
      </c>
      <c r="G333"/>
      <c r="H333" s="5" t="s">
        <v>1181</v>
      </c>
      <c r="I333" s="27"/>
      <c r="J333" s="28"/>
      <c r="K333" s="29">
        <v>1</v>
      </c>
    </row>
    <row r="334" spans="1:11" x14ac:dyDescent="0.35">
      <c r="F334" s="5" t="s">
        <v>1177</v>
      </c>
      <c r="G334" t="s">
        <v>606</v>
      </c>
      <c r="H334" s="5">
        <v>912065</v>
      </c>
      <c r="I334" s="27"/>
      <c r="J334" s="28">
        <v>1</v>
      </c>
      <c r="K334" s="29"/>
    </row>
    <row r="335" spans="1:11" x14ac:dyDescent="0.35">
      <c r="A335" s="5" t="s">
        <v>864</v>
      </c>
      <c r="B335" s="5" t="s">
        <v>865</v>
      </c>
      <c r="C335" s="5" t="s">
        <v>866</v>
      </c>
      <c r="D335" s="5" t="s">
        <v>607</v>
      </c>
      <c r="F335" s="6"/>
      <c r="G335"/>
    </row>
    <row r="336" spans="1:11" x14ac:dyDescent="0.35">
      <c r="F336" s="5" t="s">
        <v>1176</v>
      </c>
      <c r="G336"/>
      <c r="H336" s="5" t="s">
        <v>1181</v>
      </c>
      <c r="I336" s="27"/>
      <c r="J336" s="28"/>
      <c r="K336" s="29">
        <v>1</v>
      </c>
    </row>
    <row r="337" spans="6:11" x14ac:dyDescent="0.35">
      <c r="F337" s="5" t="s">
        <v>1177</v>
      </c>
      <c r="G337" t="s">
        <v>609</v>
      </c>
      <c r="H337" s="5">
        <v>4301352</v>
      </c>
      <c r="I337" s="27"/>
      <c r="J337" s="28">
        <v>1</v>
      </c>
      <c r="K337" s="29"/>
    </row>
  </sheetData>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Laura Verbeij</cp:lastModifiedBy>
  <cp:revision/>
  <dcterms:created xsi:type="dcterms:W3CDTF">2026-03-16T11:12:21Z</dcterms:created>
  <dcterms:modified xsi:type="dcterms:W3CDTF">2026-09-04T16:26:22Z</dcterms:modified>
  <cp:category/>
  <cp:contentStatus/>
</cp:coreProperties>
</file>